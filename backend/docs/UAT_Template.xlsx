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ternship\Materials\"/>
    </mc:Choice>
  </mc:AlternateContent>
  <xr:revisionPtr revIDLastSave="0" documentId="13_ncr:1_{429895AB-CF58-4BD7-AB0E-196E819C00F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ver" sheetId="1" r:id="rId1"/>
    <sheet name="Test Report" sheetId="2" r:id="rId2"/>
    <sheet name="Test Case List" sheetId="3" r:id="rId3"/>
    <sheet name="Member_Login" sheetId="8" r:id="rId4"/>
  </sheets>
  <definedNames>
    <definedName name="ACT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BkqlCNFfmzAQuuZB3ElauPcklA0JX9DpjI4zkA2+Huo="/>
    </ext>
  </extLst>
</workbook>
</file>

<file path=xl/calcChain.xml><?xml version="1.0" encoding="utf-8"?>
<calcChain xmlns="http://schemas.openxmlformats.org/spreadsheetml/2006/main">
  <c r="L16" i="8" l="1"/>
  <c r="B16" i="8"/>
  <c r="L15" i="8"/>
  <c r="B15" i="8"/>
  <c r="L14" i="8"/>
  <c r="B14" i="8"/>
  <c r="L13" i="8"/>
  <c r="B13" i="8"/>
  <c r="L12" i="8"/>
  <c r="B12" i="8"/>
  <c r="L11" i="8"/>
  <c r="B6" i="8" s="1"/>
  <c r="I11" i="2" s="1"/>
  <c r="B11" i="8"/>
  <c r="G6" i="8" s="1"/>
  <c r="L10" i="8"/>
  <c r="B10" i="8"/>
  <c r="F6" i="8"/>
  <c r="D6" i="8"/>
  <c r="C6" i="8"/>
  <c r="G11" i="2"/>
  <c r="E11" i="2"/>
  <c r="D11" i="2"/>
  <c r="C5" i="2"/>
  <c r="C6" i="1"/>
  <c r="E12" i="2" l="1"/>
  <c r="G12" i="2"/>
  <c r="D12" i="2"/>
  <c r="E6" i="8"/>
  <c r="F11" i="2" s="1"/>
  <c r="H11" i="2"/>
  <c r="I12" i="2"/>
  <c r="E16" i="2" s="1"/>
  <c r="F12" i="2" l="1"/>
  <c r="H12" i="2"/>
  <c r="E15" i="2" l="1"/>
  <c r="E14" i="2"/>
</calcChain>
</file>

<file path=xl/sharedStrings.xml><?xml version="1.0" encoding="utf-8"?>
<sst xmlns="http://schemas.openxmlformats.org/spreadsheetml/2006/main" count="131" uniqueCount="87">
  <si>
    <t>SYSTEM TEST CASE</t>
  </si>
  <si>
    <t>Project Name</t>
  </si>
  <si>
    <t>Movie Theater</t>
  </si>
  <si>
    <t>Creator</t>
  </si>
  <si>
    <t>HaLTH</t>
  </si>
  <si>
    <t>Project Code</t>
  </si>
  <si>
    <t>MT01SP25</t>
  </si>
  <si>
    <t>Reviewer/Approver</t>
  </si>
  <si>
    <t>Document Code</t>
  </si>
  <si>
    <t>Issue Date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</si>
  <si>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</si>
  <si>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</si>
  <si>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</si>
  <si>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</si>
  <si>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</si>
  <si>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</si>
  <si>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</si>
  <si>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</si>
  <si>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New document</t>
  </si>
  <si>
    <t>A</t>
  </si>
  <si>
    <t>Create test document</t>
  </si>
  <si>
    <t>N/A</t>
  </si>
  <si>
    <t>TEST REPORT</t>
  </si>
  <si>
    <t>Notes</t>
  </si>
  <si>
    <t>Including 17 functions test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</si>
  <si>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</si>
  <si>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</si>
  <si>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</si>
  <si>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</si>
  <si>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</si>
  <si>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</si>
  <si>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</si>
  <si>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Member_Login</t>
  </si>
  <si>
    <t>Sub total</t>
  </si>
  <si>
    <t>Test coverage</t>
  </si>
  <si>
    <t>%</t>
  </si>
  <si>
    <t>Test successful coverage</t>
  </si>
  <si>
    <t>Test passed percentage</t>
  </si>
  <si>
    <t>TEST CASE LIST</t>
  </si>
  <si>
    <t>Test Environment Setup Description</t>
  </si>
  <si>
    <t>1. PostgreSQL
2. Web
3. Microsoft Edge/Chrome</t>
  </si>
  <si>
    <t>Function Name</t>
  </si>
  <si>
    <t>Sheet Name</t>
  </si>
  <si>
    <t>Description</t>
  </si>
  <si>
    <t>Pre-Condition</t>
  </si>
  <si>
    <t>Test the member login functionality</t>
  </si>
  <si>
    <t>Valid username/password</t>
  </si>
  <si>
    <t>Module Code</t>
  </si>
  <si>
    <t>Test requirement</t>
  </si>
  <si>
    <t>Reference Document</t>
  </si>
  <si>
    <t>Untesed</t>
  </si>
  <si>
    <t>Number of Test cases</t>
  </si>
  <si>
    <t>ID</t>
  </si>
  <si>
    <t>Test Case Description</t>
  </si>
  <si>
    <t>Test Case Procedure</t>
  </si>
  <si>
    <t>Expected Results</t>
  </si>
  <si>
    <t>Inter-test case Dependence</t>
  </si>
  <si>
    <t>Result</t>
  </si>
  <si>
    <t>Test date</t>
  </si>
  <si>
    <t>Tester</t>
  </si>
  <si>
    <t>Number of tests</t>
  </si>
  <si>
    <t>Passed</t>
  </si>
  <si>
    <t>% Passed</t>
  </si>
  <si>
    <t>Note</t>
  </si>
  <si>
    <t>Bug Evidence 1st</t>
  </si>
  <si>
    <t>Bug Evidence 2nd</t>
  </si>
  <si>
    <t>Bug Evidence 3rd</t>
  </si>
  <si>
    <t>Login with Admin successful</t>
  </si>
  <si>
    <t>1. Navigate to login page
2. Input valid email "admin@example.com"
3. Input valid password "Admin123!"
4. Click "Login" button</t>
  </si>
  <si>
    <t>- Logged in successfully
- Redirected to Admin Dashboard</t>
  </si>
  <si>
    <t>Login with Staff successful</t>
  </si>
  <si>
    <t>1. Navigate to login page
2. Input valid email "staff@example.com"
3. Input valid password "Staff123!"
4. Click "Login" button</t>
  </si>
  <si>
    <t>- Logged in successfully
- Redirected to Staff Interface</t>
  </si>
  <si>
    <t>Login with Member successful</t>
  </si>
  <si>
    <t>1. Navigate to login page
2. Input valid email "member@example.com"
3. Input valid password "Member123!"
4. Click "Login" button</t>
  </si>
  <si>
    <t>- Logged in successfully
- Redirected to Member Homepage</t>
  </si>
  <si>
    <t>Login with invalid credentials</t>
  </si>
  <si>
    <t>1. Navigate to login page
2. Input valid email "admin@example.com"
3. Input invalid password "wrongpass"
4. Click "Login" button</t>
  </si>
  <si>
    <t>- Show error "Email/password is invalid. Please try again!"</t>
  </si>
  <si>
    <t>Login with non-existent user</t>
  </si>
  <si>
    <t>1. Navigate to login page
2. Input invalid email "nonexistent@example.com"
3. Input any password "Test123!"
4. Click "Login" button</t>
  </si>
  <si>
    <t>Login with locked account</t>
  </si>
  <si>
    <t>1. Navigate to login page
2. Input locked account email "locked@example.com"
3. Input valid password "Locked123!"
4. Click "Login" button</t>
  </si>
  <si>
    <t>- Show error "Account has been locked!"</t>
  </si>
  <si>
    <t>Verify login page security</t>
  </si>
  <si>
    <t>1. Navigate to login page 2. Inspect input fields for email and password</t>
  </si>
  <si>
    <t>- Input fields are secure (e.g., password field masked)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</si>
</sst>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2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sz val="11"/>
      <name val="Calibri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1"/>
      <color rgb="FF000000"/>
      <name val="Calibri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theme="1"/>
      <name val="Calibri"/>
    </font>
    <font>
      <u/>
      <sz val="11"/>
      <color theme="4"/>
      <name val="Calibri"/>
    </font>
    <font>
      <sz val="11"/>
      <color theme="1"/>
      <name val="Calibri"/>
      <scheme val="minor"/>
    </font>
    <font>
      <b/>
      <i/>
      <sz val="10"/>
      <color theme="1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164" fontId="8" fillId="2" borderId="6" xfId="0" applyNumberFormat="1" applyFont="1" applyFill="1" applyBorder="1" applyAlignment="1">
      <alignment horizontal="left" vertical="top"/>
    </xf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9" fillId="3" borderId="10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10" fillId="0" borderId="1" xfId="0" applyNumberFormat="1" applyFont="1" applyBorder="1" applyAlignment="1">
      <alignment vertical="top" wrapText="1"/>
    </xf>
    <xf numFmtId="49" fontId="11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15" fontId="11" fillId="0" borderId="0" xfId="0" applyNumberFormat="1" applyFont="1" applyAlignment="1">
      <alignment vertical="top"/>
    </xf>
    <xf numFmtId="15" fontId="11" fillId="0" borderId="1" xfId="0" applyNumberFormat="1" applyFont="1" applyBorder="1" applyAlignment="1">
      <alignment vertical="top"/>
    </xf>
    <xf numFmtId="15" fontId="1" fillId="0" borderId="13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15" fontId="1" fillId="0" borderId="16" xfId="0" applyNumberFormat="1" applyFont="1" applyBorder="1" applyAlignment="1">
      <alignment vertical="top"/>
    </xf>
    <xf numFmtId="49" fontId="1" fillId="0" borderId="17" xfId="0" applyNumberFormat="1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2" borderId="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left" vertical="center"/>
    </xf>
    <xf numFmtId="3" fontId="1" fillId="2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13" fillId="3" borderId="22" xfId="0" applyFont="1" applyFill="1" applyBorder="1" applyAlignment="1">
      <alignment horizontal="center"/>
    </xf>
    <xf numFmtId="0" fontId="9" fillId="3" borderId="23" xfId="0" applyFont="1" applyFill="1" applyBorder="1"/>
    <xf numFmtId="3" fontId="13" fillId="3" borderId="23" xfId="0" applyNumberFormat="1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10" fontId="13" fillId="3" borderId="24" xfId="0" applyNumberFormat="1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15" fillId="0" borderId="0" xfId="0" applyFont="1"/>
    <xf numFmtId="0" fontId="18" fillId="0" borderId="0" xfId="0" applyFont="1" applyAlignment="1">
      <alignment vertical="center"/>
    </xf>
    <xf numFmtId="1" fontId="9" fillId="4" borderId="27" xfId="0" applyNumberFormat="1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vertical="center"/>
    </xf>
    <xf numFmtId="0" fontId="19" fillId="2" borderId="33" xfId="0" applyFont="1" applyFill="1" applyBorder="1" applyAlignment="1">
      <alignment horizontal="left" vertical="center"/>
    </xf>
    <xf numFmtId="0" fontId="20" fillId="0" borderId="34" xfId="0" applyFont="1" applyBorder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0" fillId="0" borderId="0" xfId="0" applyFont="1" applyAlignment="1">
      <alignment vertical="center"/>
    </xf>
    <xf numFmtId="1" fontId="1" fillId="2" borderId="35" xfId="0" applyNumberFormat="1" applyFont="1" applyFill="1" applyBorder="1"/>
    <xf numFmtId="0" fontId="1" fillId="2" borderId="35" xfId="0" applyFont="1" applyFill="1" applyBorder="1" applyAlignment="1">
      <alignment horizontal="left"/>
    </xf>
    <xf numFmtId="0" fontId="1" fillId="2" borderId="0" xfId="0" applyFont="1" applyFill="1"/>
    <xf numFmtId="0" fontId="12" fillId="2" borderId="0" xfId="0" applyFont="1" applyFill="1" applyAlignment="1">
      <alignment vertical="top" wrapText="1"/>
    </xf>
    <xf numFmtId="0" fontId="12" fillId="2" borderId="36" xfId="0" applyFont="1" applyFill="1" applyBorder="1" applyAlignment="1">
      <alignment vertical="top" wrapText="1"/>
    </xf>
    <xf numFmtId="0" fontId="7" fillId="2" borderId="40" xfId="0" applyFont="1" applyFill="1" applyBorder="1" applyAlignment="1">
      <alignment wrapText="1"/>
    </xf>
    <xf numFmtId="0" fontId="12" fillId="2" borderId="41" xfId="0" applyFont="1" applyFill="1" applyBorder="1" applyAlignment="1">
      <alignment vertical="top" wrapText="1"/>
    </xf>
    <xf numFmtId="0" fontId="7" fillId="2" borderId="42" xfId="0" applyFont="1" applyFill="1" applyBorder="1" applyAlignment="1">
      <alignment wrapText="1"/>
    </xf>
    <xf numFmtId="0" fontId="21" fillId="2" borderId="0" xfId="0" applyFont="1" applyFill="1" applyAlignment="1">
      <alignment horizontal="center" vertical="top" wrapText="1"/>
    </xf>
    <xf numFmtId="0" fontId="21" fillId="2" borderId="4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top" wrapText="1"/>
    </xf>
    <xf numFmtId="0" fontId="21" fillId="2" borderId="42" xfId="0" applyFont="1" applyFill="1" applyBorder="1" applyAlignment="1">
      <alignment horizontal="center" vertical="top" wrapText="1"/>
    </xf>
    <xf numFmtId="10" fontId="18" fillId="0" borderId="0" xfId="0" applyNumberFormat="1" applyFont="1"/>
    <xf numFmtId="0" fontId="1" fillId="2" borderId="0" xfId="0" applyFont="1" applyFill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46" xfId="0" applyFont="1" applyFill="1" applyBorder="1" applyAlignment="1">
      <alignment horizontal="center" vertical="center" wrapText="1"/>
    </xf>
    <xf numFmtId="0" fontId="9" fillId="5" borderId="47" xfId="0" applyFont="1" applyFill="1" applyBorder="1" applyAlignment="1">
      <alignment horizontal="center" vertical="center" wrapText="1"/>
    </xf>
    <xf numFmtId="10" fontId="9" fillId="5" borderId="4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0" fillId="0" borderId="1" xfId="0" applyFont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top" wrapText="1"/>
    </xf>
    <xf numFmtId="10" fontId="1" fillId="2" borderId="1" xfId="0" applyNumberFormat="1" applyFont="1" applyFill="1" applyBorder="1" applyAlignment="1">
      <alignment vertical="top" wrapText="1"/>
    </xf>
    <xf numFmtId="0" fontId="20" fillId="0" borderId="1" xfId="0" applyFont="1" applyBorder="1" applyAlignment="1">
      <alignment vertical="center"/>
    </xf>
    <xf numFmtId="10" fontId="18" fillId="0" borderId="43" xfId="0" applyNumberFormat="1" applyFont="1" applyBorder="1"/>
    <xf numFmtId="3" fontId="1" fillId="2" borderId="44" xfId="0" applyNumberFormat="1" applyFont="1" applyFill="1" applyBorder="1" applyAlignment="1">
      <alignment horizontal="center" vertical="top" wrapText="1"/>
    </xf>
    <xf numFmtId="3" fontId="1" fillId="2" borderId="45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2" fillId="2" borderId="35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left"/>
    </xf>
    <xf numFmtId="0" fontId="1" fillId="2" borderId="35" xfId="0" applyFont="1" applyFill="1" applyBorder="1"/>
    <xf numFmtId="0" fontId="1" fillId="0" borderId="6" xfId="0" applyFont="1" applyBorder="1"/>
    <xf numFmtId="0" fontId="8" fillId="0" borderId="6" xfId="0" applyFont="1" applyBorder="1" applyAlignment="1">
      <alignment horizontal="left"/>
    </xf>
    <xf numFmtId="0" fontId="6" fillId="2" borderId="35" xfId="0" applyFont="1" applyFill="1" applyBorder="1"/>
    <xf numFmtId="0" fontId="12" fillId="2" borderId="35" xfId="0" applyFont="1" applyFill="1" applyBorder="1"/>
    <xf numFmtId="15" fontId="1" fillId="2" borderId="35" xfId="0" applyNumberFormat="1" applyFont="1" applyFill="1" applyBorder="1"/>
    <xf numFmtId="0" fontId="7" fillId="2" borderId="35" xfId="0" applyFont="1" applyFill="1" applyBorder="1"/>
    <xf numFmtId="0" fontId="1" fillId="2" borderId="35" xfId="0" applyFont="1" applyFill="1" applyBorder="1" applyAlignment="1">
      <alignment horizontal="center"/>
    </xf>
    <xf numFmtId="10" fontId="1" fillId="2" borderId="35" xfId="0" applyNumberFormat="1" applyFont="1" applyFill="1" applyBorder="1" applyAlignment="1">
      <alignment horizontal="center"/>
    </xf>
    <xf numFmtId="9" fontId="1" fillId="2" borderId="35" xfId="0" applyNumberFormat="1" applyFont="1" applyFill="1" applyBorder="1" applyAlignment="1">
      <alignment horizontal="center"/>
    </xf>
    <xf numFmtId="2" fontId="14" fillId="2" borderId="35" xfId="0" applyNumberFormat="1" applyFont="1" applyFill="1" applyBorder="1" applyAlignment="1">
      <alignment horizontal="right" wrapText="1"/>
    </xf>
    <xf numFmtId="0" fontId="8" fillId="2" borderId="35" xfId="0" applyFont="1" applyFill="1" applyBorder="1" applyAlignment="1">
      <alignment horizontal="center" wrapText="1"/>
    </xf>
    <xf numFmtId="10" fontId="14" fillId="2" borderId="35" xfId="0" applyNumberFormat="1" applyFont="1" applyFill="1" applyBorder="1" applyAlignment="1">
      <alignment horizontal="right" wrapText="1"/>
    </xf>
    <xf numFmtId="0" fontId="5" fillId="2" borderId="35" xfId="0" applyFont="1" applyFill="1" applyBorder="1" applyAlignment="1">
      <alignment horizontal="left"/>
    </xf>
    <xf numFmtId="0" fontId="16" fillId="2" borderId="35" xfId="0" applyFont="1" applyFill="1" applyBorder="1" applyAlignment="1">
      <alignment horizontal="left"/>
    </xf>
    <xf numFmtId="0" fontId="17" fillId="2" borderId="35" xfId="0" applyFont="1" applyFill="1" applyBorder="1" applyAlignment="1">
      <alignment horizontal="left"/>
    </xf>
    <xf numFmtId="1" fontId="6" fillId="2" borderId="35" xfId="0" applyNumberFormat="1" applyFont="1" applyFill="1" applyBorder="1"/>
    <xf numFmtId="0" fontId="1" fillId="2" borderId="35" xfId="0" applyFont="1" applyFill="1" applyBorder="1" applyAlignment="1">
      <alignment vertical="center"/>
    </xf>
    <xf numFmtId="1" fontId="1" fillId="2" borderId="35" xfId="0" applyNumberFormat="1" applyFont="1" applyFill="1" applyBorder="1" applyAlignment="1">
      <alignment vertical="center"/>
    </xf>
    <xf numFmtId="0" fontId="1" fillId="2" borderId="35" xfId="0" applyFont="1" applyFill="1" applyBorder="1" applyAlignment="1">
      <alignment horizontal="left" vertical="center"/>
    </xf>
    <xf numFmtId="0" fontId="12" fillId="2" borderId="35" xfId="0" applyFont="1" applyFill="1" applyBorder="1" applyAlignment="1">
      <alignment horizontal="center"/>
    </xf>
    <xf numFmtId="49" fontId="1" fillId="2" borderId="33" xfId="0" applyNumberFormat="1" applyFont="1" applyFill="1" applyBorder="1" applyAlignment="1">
      <alignment horizontal="left" vertical="center"/>
    </xf>
    <xf numFmtId="0" fontId="20" fillId="0" borderId="33" xfId="0" applyFont="1" applyBorder="1" applyAlignment="1">
      <alignment vertical="center"/>
    </xf>
    <xf numFmtId="0" fontId="7" fillId="2" borderId="35" xfId="0" applyFont="1" applyFill="1" applyBorder="1" applyAlignment="1">
      <alignment wrapText="1"/>
    </xf>
    <xf numFmtId="10" fontId="7" fillId="2" borderId="35" xfId="0" applyNumberFormat="1" applyFont="1" applyFill="1" applyBorder="1" applyAlignment="1">
      <alignment wrapText="1"/>
    </xf>
    <xf numFmtId="0" fontId="8" fillId="2" borderId="35" xfId="0" applyFont="1" applyFill="1" applyBorder="1" applyAlignment="1">
      <alignment wrapText="1"/>
    </xf>
    <xf numFmtId="0" fontId="1" fillId="2" borderId="35" xfId="0" applyFont="1" applyFill="1" applyBorder="1" applyAlignment="1">
      <alignment horizontal="center" wrapText="1"/>
    </xf>
    <xf numFmtId="0" fontId="1" fillId="2" borderId="46" xfId="0" applyFont="1" applyFill="1" applyBorder="1" applyAlignment="1">
      <alignment vertical="top" wrapText="1"/>
    </xf>
    <xf numFmtId="0" fontId="3" fillId="0" borderId="46" xfId="0" applyFont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46" xfId="0" applyFont="1" applyBorder="1" applyAlignment="1">
      <alignment horizontal="center" vertical="center"/>
    </xf>
    <xf numFmtId="0" fontId="8" fillId="2" borderId="46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2" borderId="46" xfId="0" applyFont="1" applyFill="1" applyBorder="1" applyAlignment="1">
      <alignment horizontal="left"/>
    </xf>
    <xf numFmtId="0" fontId="8" fillId="2" borderId="46" xfId="0" applyFont="1" applyFill="1" applyBorder="1" applyAlignment="1">
      <alignment vertical="center"/>
    </xf>
    <xf numFmtId="0" fontId="5" fillId="2" borderId="35" xfId="0" applyFont="1" applyFill="1" applyBorder="1" applyAlignment="1">
      <alignment horizontal="center"/>
    </xf>
    <xf numFmtId="0" fontId="4" fillId="0" borderId="35" xfId="0" applyFont="1" applyBorder="1" applyAlignment="1">
      <alignment vertical="center"/>
    </xf>
    <xf numFmtId="1" fontId="6" fillId="2" borderId="46" xfId="0" applyNumberFormat="1" applyFont="1" applyFill="1" applyBorder="1"/>
    <xf numFmtId="1" fontId="6" fillId="2" borderId="46" xfId="0" applyNumberFormat="1" applyFont="1" applyFill="1" applyBorder="1" applyAlignment="1">
      <alignment vertical="center"/>
    </xf>
    <xf numFmtId="0" fontId="8" fillId="2" borderId="46" xfId="0" applyFont="1" applyFill="1" applyBorder="1" applyAlignment="1">
      <alignment horizontal="left" vertical="top" wrapText="1"/>
    </xf>
    <xf numFmtId="0" fontId="1" fillId="2" borderId="37" xfId="0" applyFont="1" applyFill="1" applyBorder="1" applyAlignment="1">
      <alignment horizontal="left" vertical="top" wrapText="1"/>
    </xf>
    <xf numFmtId="0" fontId="4" fillId="0" borderId="38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1" fillId="2" borderId="46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8" xfId="0" applyFont="1" applyFill="1" applyBorder="1" applyAlignment="1">
      <alignment horizontal="center" vertical="center" wrapText="1"/>
    </xf>
    <xf numFmtId="0" fontId="15" fillId="0" borderId="4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styles" Target="styles.xml"/><Relationship Id="rId4" Type="http://schemas.openxmlformats.org/officeDocument/2006/relationships/worksheet" Target="worksheets/sheet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defaultColWidth="14.453125" defaultRowHeight="15" customHeight="1" x14ac:dyDescent="0.35"/>
  <cols>
    <col min="1" max="1" width="8.81640625" customWidth="1"/>
    <col min="2" max="2" width="17.7265625" customWidth="1"/>
    <col min="3" max="3" width="8.81640625" customWidth="1"/>
    <col min="4" max="4" width="23.453125" customWidth="1"/>
    <col min="5" max="5" width="15.54296875" customWidth="1"/>
    <col min="6" max="6" width="31.81640625" customWidth="1"/>
    <col min="7" max="7" width="23" customWidth="1"/>
    <col min="8" max="26" width="8.81640625" customWidth="1"/>
  </cols>
  <sheetData>
    <row r="1" spans="1:7" ht="14.25" customHeight="1" x14ac:dyDescent="0.25">
      <c r="A1" s="1"/>
      <c r="B1" s="2"/>
      <c r="C1" s="1"/>
      <c r="D1" s="1"/>
      <c r="E1" s="1"/>
      <c r="F1" s="1"/>
      <c r="G1" s="1"/>
    </row>
    <row r="2" spans="1:7" ht="72.75" customHeight="1" x14ac:dyDescent="0.35">
      <c r="A2" s="86"/>
      <c r="B2" s="116"/>
      <c r="C2" s="117"/>
      <c r="D2" s="118"/>
      <c r="E2" s="119" t="s">
        <v>0</v>
      </c>
      <c r="F2" s="117"/>
      <c r="G2" s="118"/>
    </row>
    <row r="3" spans="1:7" ht="14.25" customHeight="1" x14ac:dyDescent="0.25">
      <c r="A3" s="1"/>
      <c r="B3" s="87"/>
      <c r="C3" s="3"/>
      <c r="D3" s="1"/>
      <c r="E3" s="1"/>
      <c r="F3" s="88"/>
      <c r="G3" s="1"/>
    </row>
    <row r="4" spans="1:7" ht="14.25" customHeight="1" x14ac:dyDescent="0.25">
      <c r="A4" s="1"/>
      <c r="B4" s="4" t="s">
        <v>1</v>
      </c>
      <c r="C4" s="120" t="s">
        <v>2</v>
      </c>
      <c r="D4" s="117"/>
      <c r="E4" s="118"/>
      <c r="F4" s="4" t="s">
        <v>3</v>
      </c>
      <c r="G4" s="89" t="s">
        <v>4</v>
      </c>
    </row>
    <row r="5" spans="1:7" ht="14.25" customHeight="1" x14ac:dyDescent="0.25">
      <c r="A5" s="1"/>
      <c r="B5" s="4" t="s">
        <v>5</v>
      </c>
      <c r="C5" s="120" t="s">
        <v>6</v>
      </c>
      <c r="D5" s="117"/>
      <c r="E5" s="118"/>
      <c r="F5" s="4" t="s">
        <v>7</v>
      </c>
      <c r="G5" s="89"/>
    </row>
    <row r="6" spans="1:7" ht="14.25" customHeight="1" x14ac:dyDescent="0.25">
      <c r="A6" s="1"/>
      <c r="B6" s="121" t="s">
        <v>8</v>
      </c>
      <c r="C6" s="123" t="str">
        <f>C5&amp;"_"&amp;"Test Report"&amp;"_"&amp;"v1.0"</f>
        <v>MT01SP25_Test Report_v1.0</v>
      </c>
      <c r="D6" s="124"/>
      <c r="E6" s="125"/>
      <c r="F6" s="4" t="s">
        <v>9</v>
      </c>
      <c r="G6" s="5">
        <v>45541</v>
      </c>
    </row>
    <row r="7" spans="1:7" ht="14.25" customHeight="1" x14ac:dyDescent="0.25">
      <c r="A7" s="1"/>
      <c r="B7" s="122"/>
      <c r="C7" s="126"/>
      <c r="D7" s="127"/>
      <c r="E7" s="128"/>
      <c r="F7" s="4" t="s">
        <v>10</v>
      </c>
      <c r="G7" s="90" t="s">
        <v>11</v>
      </c>
    </row>
    <row r="8" spans="1:7" ht="14.25" customHeight="1" x14ac:dyDescent="0.25">
      <c r="A8" s="1"/>
      <c r="B8" s="91"/>
      <c r="C8" s="3"/>
      <c r="D8" s="1"/>
      <c r="E8" s="1"/>
      <c r="F8" s="87"/>
      <c r="G8" s="3"/>
    </row>
    <row r="9" spans="1:7" ht="14.25" customHeight="1" x14ac:dyDescent="0.25">
      <c r="A9" s="1"/>
      <c r="B9" s="2"/>
      <c r="C9" s="1"/>
      <c r="D9" s="1"/>
      <c r="E9" s="1"/>
      <c r="F9" s="1"/>
      <c r="G9" s="1"/>
    </row>
    <row r="10" spans="1:7" ht="14.25" customHeight="1" x14ac:dyDescent="0.25">
      <c r="A10" s="1"/>
      <c r="B10" s="6" t="s">
        <v>12</v>
      </c>
      <c r="C10" s="1"/>
      <c r="D10" s="1"/>
      <c r="E10" s="1"/>
      <c r="F10" s="1"/>
      <c r="G10" s="1"/>
    </row>
    <row r="11" spans="1:7" ht="14.25" customHeight="1" x14ac:dyDescent="0.35">
      <c r="A11" s="7"/>
      <c r="B11" s="8" t="s">
        <v>13</v>
      </c>
      <c r="C11" s="9" t="s">
        <v>10</v>
      </c>
      <c r="D11" s="9" t="s">
        <v>14</v>
      </c>
      <c r="E11" s="9" t="s">
        <v>15</v>
      </c>
      <c r="F11" s="9" t="s">
        <v>16</v>
      </c>
      <c r="G11" s="10" t="s">
        <v>17</v>
      </c>
    </row>
    <row r="12" spans="1:7" ht="14.25" customHeight="1" x14ac:dyDescent="0.35">
      <c r="A12" s="11"/>
      <c r="B12" s="12">
        <v>45541</v>
      </c>
      <c r="C12" s="13" t="s">
        <v>11</v>
      </c>
      <c r="D12" s="14" t="s">
        <v>18</v>
      </c>
      <c r="E12" s="14" t="s">
        <v>19</v>
      </c>
      <c r="F12" s="15" t="s">
        <v>20</v>
      </c>
      <c r="G12" s="14" t="s">
        <v>21</v>
      </c>
    </row>
    <row r="13" spans="1:7" ht="14.25" customHeight="1" x14ac:dyDescent="0.35">
      <c r="A13" s="11"/>
      <c r="B13" s="12"/>
      <c r="C13" s="13"/>
      <c r="D13" s="14"/>
      <c r="E13" s="14"/>
      <c r="F13" s="16"/>
      <c r="G13" s="14"/>
    </row>
    <row r="14" spans="1:7" ht="14.25" customHeight="1" x14ac:dyDescent="0.35">
      <c r="A14" s="11"/>
      <c r="B14" s="12"/>
      <c r="C14" s="13"/>
      <c r="D14" s="14"/>
      <c r="E14" s="14"/>
      <c r="F14" s="16"/>
      <c r="G14" s="14"/>
    </row>
    <row r="15" spans="1:7" ht="14.25" customHeight="1" x14ac:dyDescent="0.35">
      <c r="A15" s="11"/>
      <c r="B15" s="17"/>
      <c r="C15" s="18"/>
      <c r="D15" s="19"/>
      <c r="E15" s="19"/>
      <c r="F15" s="19"/>
      <c r="G15" s="20"/>
    </row>
    <row r="16" spans="1:7" ht="14.25" customHeight="1" x14ac:dyDescent="0.35">
      <c r="A16" s="11"/>
      <c r="B16" s="17"/>
      <c r="C16" s="18"/>
      <c r="D16" s="19"/>
      <c r="E16" s="19"/>
      <c r="F16" s="19"/>
      <c r="G16" s="20"/>
    </row>
    <row r="17" spans="1:7" ht="14.25" customHeight="1" x14ac:dyDescent="0.35">
      <c r="A17" s="11"/>
      <c r="B17" s="17"/>
      <c r="C17" s="18"/>
      <c r="D17" s="19"/>
      <c r="E17" s="19"/>
      <c r="F17" s="19"/>
      <c r="G17" s="20"/>
    </row>
    <row r="18" spans="1:7" ht="14.25" customHeight="1" x14ac:dyDescent="0.35">
      <c r="A18" s="11"/>
      <c r="B18" s="21"/>
      <c r="C18" s="22"/>
      <c r="D18" s="23"/>
      <c r="E18" s="23"/>
      <c r="F18" s="23"/>
      <c r="G18" s="24"/>
    </row>
    <row r="19" spans="1:7" ht="14.25" customHeight="1" x14ac:dyDescent="0.25">
      <c r="A19" s="1"/>
      <c r="B19" s="2"/>
      <c r="C19" s="1"/>
      <c r="D19" s="1"/>
      <c r="E19" s="1"/>
      <c r="F19" s="1"/>
      <c r="G19" s="1"/>
    </row>
    <row r="20" spans="1:7" ht="14.25" customHeight="1" x14ac:dyDescent="0.25">
      <c r="A20" s="1"/>
      <c r="B20" s="2"/>
      <c r="C20" s="1"/>
      <c r="D20" s="1"/>
      <c r="E20" s="1"/>
      <c r="F20" s="1"/>
      <c r="G20" s="1"/>
    </row>
    <row r="21" spans="1:7" ht="14.25" customHeight="1" x14ac:dyDescent="0.35"/>
    <row r="22" spans="1:7" ht="14.25" customHeight="1" x14ac:dyDescent="0.35"/>
    <row r="23" spans="1:7" ht="14.25" customHeight="1" x14ac:dyDescent="0.35"/>
    <row r="24" spans="1:7" ht="14.25" customHeight="1" x14ac:dyDescent="0.35"/>
    <row r="25" spans="1:7" ht="14.25" customHeight="1" x14ac:dyDescent="0.35"/>
    <row r="26" spans="1:7" ht="14.25" customHeight="1" x14ac:dyDescent="0.35"/>
    <row r="27" spans="1:7" ht="14.25" customHeight="1" x14ac:dyDescent="0.35"/>
    <row r="28" spans="1:7" ht="14.25" customHeight="1" x14ac:dyDescent="0.35"/>
    <row r="29" spans="1:7" ht="14.25" customHeight="1" x14ac:dyDescent="0.35"/>
    <row r="30" spans="1:7" ht="14.25" customHeight="1" x14ac:dyDescent="0.35"/>
    <row r="31" spans="1:7" ht="14.25" customHeight="1" x14ac:dyDescent="0.35"/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B2:D2"/>
    <mergeCell ref="E2:G2"/>
    <mergeCell ref="C4:E4"/>
    <mergeCell ref="C5:E5"/>
    <mergeCell ref="B6:B7"/>
    <mergeCell ref="C6:E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4"/>
  <sheetViews>
    <sheetView workbookViewId="0">
      <selection activeCell="H24" sqref="H24"/>
    </sheetView>
  </sheetViews>
  <sheetFormatPr defaultColWidth="14.453125" defaultRowHeight="15" customHeight="1" x14ac:dyDescent="0.35"/>
  <cols>
    <col min="1" max="1" width="9" customWidth="1"/>
    <col min="2" max="2" width="13.453125" customWidth="1"/>
    <col min="3" max="3" width="33" customWidth="1"/>
    <col min="4" max="6" width="11.54296875" customWidth="1"/>
    <col min="7" max="7" width="9" customWidth="1"/>
    <col min="8" max="8" width="35.453125" customWidth="1"/>
    <col min="9" max="9" width="33.453125" customWidth="1"/>
    <col min="10" max="26" width="9" customWidth="1"/>
  </cols>
  <sheetData>
    <row r="1" spans="1:26" ht="25.5" customHeight="1" x14ac:dyDescent="0.45">
      <c r="A1" s="88"/>
      <c r="B1" s="131" t="s">
        <v>22</v>
      </c>
      <c r="C1" s="132"/>
      <c r="D1" s="132"/>
      <c r="E1" s="132"/>
      <c r="F1" s="132"/>
      <c r="G1" s="132"/>
      <c r="H1" s="132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4.25" customHeight="1" x14ac:dyDescent="0.25">
      <c r="A2" s="92"/>
      <c r="B2" s="92"/>
      <c r="C2" s="88"/>
      <c r="D2" s="88"/>
      <c r="E2" s="88"/>
      <c r="F2" s="88"/>
      <c r="G2" s="88"/>
      <c r="H2" s="93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2" customHeight="1" x14ac:dyDescent="0.25">
      <c r="A3" s="88"/>
      <c r="B3" s="25" t="s">
        <v>1</v>
      </c>
      <c r="C3" s="120" t="s">
        <v>2</v>
      </c>
      <c r="D3" s="118"/>
      <c r="E3" s="129" t="s">
        <v>3</v>
      </c>
      <c r="F3" s="118"/>
      <c r="G3" s="26"/>
      <c r="H3" s="27" t="s">
        <v>4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2" customHeight="1" x14ac:dyDescent="0.25">
      <c r="A4" s="88"/>
      <c r="B4" s="25" t="s">
        <v>5</v>
      </c>
      <c r="C4" s="120" t="s">
        <v>6</v>
      </c>
      <c r="D4" s="118"/>
      <c r="E4" s="129" t="s">
        <v>7</v>
      </c>
      <c r="F4" s="118"/>
      <c r="G4" s="26"/>
      <c r="H4" s="27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2" customHeight="1" x14ac:dyDescent="0.25">
      <c r="A5" s="88"/>
      <c r="B5" s="28" t="s">
        <v>8</v>
      </c>
      <c r="C5" s="120" t="str">
        <f>C4&amp;"_"&amp;"Test Report"&amp;"_"&amp;"v1.0"</f>
        <v>MT01SP25_Test Report_v1.0</v>
      </c>
      <c r="D5" s="118"/>
      <c r="E5" s="129" t="s">
        <v>9</v>
      </c>
      <c r="F5" s="118"/>
      <c r="G5" s="26"/>
      <c r="H5" s="5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21.75" customHeight="1" x14ac:dyDescent="0.25">
      <c r="A6" s="92"/>
      <c r="B6" s="28" t="s">
        <v>23</v>
      </c>
      <c r="C6" s="130" t="s">
        <v>24</v>
      </c>
      <c r="D6" s="117"/>
      <c r="E6" s="117"/>
      <c r="F6" s="117"/>
      <c r="G6" s="117"/>
      <c r="H6" s="11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4.25" customHeight="1" x14ac:dyDescent="0.25">
      <c r="A7" s="92"/>
      <c r="B7" s="91"/>
      <c r="C7" s="94"/>
      <c r="D7" s="88"/>
      <c r="E7" s="88"/>
      <c r="F7" s="88"/>
      <c r="G7" s="88"/>
      <c r="H7" s="93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2.75" customHeight="1" x14ac:dyDescent="0.25">
      <c r="A8" s="88"/>
      <c r="B8" s="91"/>
      <c r="C8" s="94"/>
      <c r="D8" s="88"/>
      <c r="E8" s="88"/>
      <c r="F8" s="88"/>
      <c r="G8" s="88"/>
      <c r="H8" s="93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12.75" customHeight="1" x14ac:dyDescent="0.2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5.75" customHeight="1" x14ac:dyDescent="0.25">
      <c r="A10" s="88"/>
      <c r="B10" s="29" t="s">
        <v>25</v>
      </c>
      <c r="C10" s="30" t="s">
        <v>26</v>
      </c>
      <c r="D10" s="31" t="s">
        <v>27</v>
      </c>
      <c r="E10" s="30" t="s">
        <v>28</v>
      </c>
      <c r="F10" s="30" t="s">
        <v>29</v>
      </c>
      <c r="G10" s="30" t="s">
        <v>21</v>
      </c>
      <c r="H10" s="31" t="s">
        <v>30</v>
      </c>
      <c r="I10" s="32" t="s">
        <v>31</v>
      </c>
      <c r="J10" s="88"/>
      <c r="K10" s="95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2.75" customHeight="1" x14ac:dyDescent="0.25">
      <c r="A11" s="88"/>
      <c r="B11" s="33">
        <v>1</v>
      </c>
      <c r="C11" s="34" t="s">
        <v>32</v>
      </c>
      <c r="D11" s="35">
        <f>Member_Login!C6</f>
        <v>6</v>
      </c>
      <c r="E11" s="35">
        <f>Member_Login!D6</f>
        <v>0</v>
      </c>
      <c r="F11" s="35">
        <f>Member_Login!E6</f>
        <v>0</v>
      </c>
      <c r="G11" s="35">
        <f>Member_Login!F6</f>
        <v>1</v>
      </c>
      <c r="H11" s="35">
        <f>Member_Login!G6</f>
        <v>7</v>
      </c>
      <c r="I11" s="36">
        <f>Member_Login!B6</f>
        <v>0.8571428571428571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2.75" customHeight="1" x14ac:dyDescent="0.25">
      <c r="A12" s="88"/>
      <c r="B12" s="37"/>
      <c r="C12" s="38" t="s">
        <v>33</v>
      </c>
      <c r="D12" s="39">
        <f>SUM(D11:D11)</f>
        <v>6</v>
      </c>
      <c r="E12" s="40">
        <f>SUM(E9:E11)</f>
        <v>0</v>
      </c>
      <c r="F12" s="40">
        <f>SUM(F9:F11)</f>
        <v>0</v>
      </c>
      <c r="G12" s="40">
        <f>SUM(G9:G11)</f>
        <v>1</v>
      </c>
      <c r="H12" s="39">
        <f>SUM(H11:H11)</f>
        <v>7</v>
      </c>
      <c r="I12" s="41">
        <f>SUM(I11:I11)/COUNT(I11:I11)</f>
        <v>0.8571428571428571</v>
      </c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2.75" customHeight="1" x14ac:dyDescent="0.25">
      <c r="A13" s="88"/>
      <c r="B13" s="95"/>
      <c r="C13" s="88"/>
      <c r="D13" s="96"/>
      <c r="E13" s="97"/>
      <c r="F13" s="97"/>
      <c r="G13" s="97"/>
      <c r="H13" s="97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2.75" customHeight="1" x14ac:dyDescent="0.25">
      <c r="A14" s="88"/>
      <c r="B14" s="88"/>
      <c r="C14" s="87" t="s">
        <v>34</v>
      </c>
      <c r="D14" s="88"/>
      <c r="E14" s="98">
        <f>(D12+E12)*100/(H12-G12)</f>
        <v>100</v>
      </c>
      <c r="F14" s="88" t="s">
        <v>35</v>
      </c>
      <c r="G14" s="88"/>
      <c r="H14" s="42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2.75" customHeight="1" x14ac:dyDescent="0.25">
      <c r="A15" s="88"/>
      <c r="B15" s="88"/>
      <c r="C15" s="87" t="s">
        <v>36</v>
      </c>
      <c r="D15" s="88"/>
      <c r="E15" s="98">
        <f>D12*100/(H12-G12)</f>
        <v>100</v>
      </c>
      <c r="F15" s="88" t="s">
        <v>35</v>
      </c>
      <c r="G15" s="88"/>
      <c r="H15" s="99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2.75" customHeight="1" x14ac:dyDescent="0.25">
      <c r="A16" s="88"/>
      <c r="B16" s="88"/>
      <c r="C16" s="87" t="s">
        <v>37</v>
      </c>
      <c r="D16" s="88"/>
      <c r="E16" s="100">
        <f>I12</f>
        <v>0.8571428571428571</v>
      </c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2.75" customHeight="1" x14ac:dyDescent="0.25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2.75" customHeight="1" x14ac:dyDescent="0.25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2.75" customHeight="1" x14ac:dyDescent="0.2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2.75" customHeight="1" x14ac:dyDescent="0.25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2.75" customHeight="1" x14ac:dyDescent="0.25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2.75" customHeight="1" x14ac:dyDescent="0.25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2.75" customHeight="1" x14ac:dyDescent="0.2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2.75" customHeight="1" x14ac:dyDescent="0.2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2.75" customHeight="1" x14ac:dyDescent="0.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2.75" customHeight="1" x14ac:dyDescent="0.25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2.75" customHeight="1" x14ac:dyDescent="0.2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2.75" customHeight="1" x14ac:dyDescent="0.25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2.75" customHeight="1" x14ac:dyDescent="0.25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2.75" customHeight="1" x14ac:dyDescent="0.25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2.75" customHeight="1" x14ac:dyDescent="0.25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2.75" customHeight="1" x14ac:dyDescent="0.25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2.75" customHeight="1" x14ac:dyDescent="0.25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2.75" customHeight="1" x14ac:dyDescent="0.25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2.75" customHeight="1" x14ac:dyDescent="0.2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2.75" customHeight="1" x14ac:dyDescent="0.2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2.75" customHeight="1" x14ac:dyDescent="0.25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2.75" customHeight="1" x14ac:dyDescent="0.25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2.75" customHeight="1" x14ac:dyDescent="0.25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2.75" customHeight="1" x14ac:dyDescent="0.2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2.75" customHeight="1" x14ac:dyDescent="0.25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2.75" customHeight="1" x14ac:dyDescent="0.25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2.75" customHeight="1" x14ac:dyDescent="0.25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2.75" customHeight="1" x14ac:dyDescent="0.25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2.75" customHeight="1" x14ac:dyDescent="0.2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2.75" customHeight="1" x14ac:dyDescent="0.2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2.75" customHeight="1" x14ac:dyDescent="0.2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2.75" customHeight="1" x14ac:dyDescent="0.2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2.75" customHeight="1" x14ac:dyDescent="0.2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2.75" customHeight="1" x14ac:dyDescent="0.2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2.75" customHeight="1" x14ac:dyDescent="0.2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2.75" customHeight="1" x14ac:dyDescent="0.2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2.75" customHeight="1" x14ac:dyDescent="0.2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2.75" customHeight="1" x14ac:dyDescent="0.25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2.75" customHeight="1" x14ac:dyDescent="0.2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2.75" customHeight="1" x14ac:dyDescent="0.2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2.75" customHeight="1" x14ac:dyDescent="0.2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2.75" customHeight="1" x14ac:dyDescent="0.2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2.75" customHeight="1" x14ac:dyDescent="0.25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2.75" customHeight="1" x14ac:dyDescent="0.2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2.75" customHeight="1" x14ac:dyDescent="0.2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2.75" customHeight="1" x14ac:dyDescent="0.2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2.75" customHeight="1" x14ac:dyDescent="0.2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2.75" customHeight="1" x14ac:dyDescent="0.2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2.75" customHeight="1" x14ac:dyDescent="0.2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2.75" customHeight="1" x14ac:dyDescent="0.2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2.75" customHeight="1" x14ac:dyDescent="0.25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2.75" customHeight="1" x14ac:dyDescent="0.2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2.75" customHeight="1" x14ac:dyDescent="0.2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2.75" customHeight="1" x14ac:dyDescent="0.2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2.75" customHeight="1" x14ac:dyDescent="0.25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2.75" customHeight="1" x14ac:dyDescent="0.2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2.75" customHeight="1" x14ac:dyDescent="0.2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2.75" customHeight="1" x14ac:dyDescent="0.2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2.75" customHeight="1" x14ac:dyDescent="0.2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2.75" customHeight="1" x14ac:dyDescent="0.2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2.75" customHeight="1" x14ac:dyDescent="0.2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2.75" customHeight="1" x14ac:dyDescent="0.2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2.75" customHeight="1" x14ac:dyDescent="0.2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2.75" customHeight="1" x14ac:dyDescent="0.2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2.75" customHeight="1" x14ac:dyDescent="0.2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2.75" customHeight="1" x14ac:dyDescent="0.2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2.75" customHeight="1" x14ac:dyDescent="0.2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2.75" customHeight="1" x14ac:dyDescent="0.2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2.75" customHeight="1" x14ac:dyDescent="0.2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2.75" customHeight="1" x14ac:dyDescent="0.2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2.75" customHeight="1" x14ac:dyDescent="0.2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2.75" customHeight="1" x14ac:dyDescent="0.2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2.75" customHeight="1" x14ac:dyDescent="0.2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2.75" customHeight="1" x14ac:dyDescent="0.2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2.75" customHeight="1" x14ac:dyDescent="0.2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2.75" customHeight="1" x14ac:dyDescent="0.2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2.75" customHeight="1" x14ac:dyDescent="0.2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2.75" customHeight="1" x14ac:dyDescent="0.2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.75" customHeight="1" x14ac:dyDescent="0.2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.75" customHeight="1" x14ac:dyDescent="0.2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2.75" customHeight="1" x14ac:dyDescent="0.2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2.75" customHeight="1" x14ac:dyDescent="0.2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2.75" customHeight="1" x14ac:dyDescent="0.2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2.75" customHeight="1" x14ac:dyDescent="0.2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2.75" customHeight="1" x14ac:dyDescent="0.2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2.75" customHeight="1" x14ac:dyDescent="0.2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2.75" customHeight="1" x14ac:dyDescent="0.2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2.75" customHeight="1" x14ac:dyDescent="0.2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2.75" customHeight="1" x14ac:dyDescent="0.2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2.75" customHeight="1" x14ac:dyDescent="0.2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2.75" customHeight="1" x14ac:dyDescent="0.2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2.75" customHeight="1" x14ac:dyDescent="0.2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2.75" customHeight="1" x14ac:dyDescent="0.2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2.75" customHeight="1" x14ac:dyDescent="0.2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2.75" customHeight="1" x14ac:dyDescent="0.2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2.75" customHeight="1" x14ac:dyDescent="0.2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2.75" customHeight="1" x14ac:dyDescent="0.2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2.75" customHeight="1" x14ac:dyDescent="0.2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2.75" customHeight="1" x14ac:dyDescent="0.2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2.75" customHeight="1" x14ac:dyDescent="0.2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2.75" customHeight="1" x14ac:dyDescent="0.2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2.75" customHeight="1" x14ac:dyDescent="0.2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2.75" customHeight="1" x14ac:dyDescent="0.2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2.75" customHeight="1" x14ac:dyDescent="0.2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2.75" customHeight="1" x14ac:dyDescent="0.2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2.75" customHeight="1" x14ac:dyDescent="0.2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2.75" customHeight="1" x14ac:dyDescent="0.2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2.75" customHeight="1" x14ac:dyDescent="0.2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2.75" customHeight="1" x14ac:dyDescent="0.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2.75" customHeight="1" x14ac:dyDescent="0.2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2.75" customHeight="1" x14ac:dyDescent="0.2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2.75" customHeight="1" x14ac:dyDescent="0.2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2.75" customHeight="1" x14ac:dyDescent="0.2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2.75" customHeight="1" x14ac:dyDescent="0.2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2.75" customHeight="1" x14ac:dyDescent="0.2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2.75" customHeight="1" x14ac:dyDescent="0.2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2.75" customHeight="1" x14ac:dyDescent="0.2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2.75" customHeight="1" x14ac:dyDescent="0.2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2.75" customHeight="1" x14ac:dyDescent="0.2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2.75" customHeight="1" x14ac:dyDescent="0.2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2.75" customHeight="1" x14ac:dyDescent="0.2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2.75" customHeight="1" x14ac:dyDescent="0.2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2.75" customHeight="1" x14ac:dyDescent="0.2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2.75" customHeight="1" x14ac:dyDescent="0.2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2.75" customHeight="1" x14ac:dyDescent="0.2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2.75" customHeight="1" x14ac:dyDescent="0.2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2.75" customHeight="1" x14ac:dyDescent="0.2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2.75" customHeight="1" x14ac:dyDescent="0.2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2.75" customHeight="1" x14ac:dyDescent="0.2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2.75" customHeight="1" x14ac:dyDescent="0.2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2.75" customHeight="1" x14ac:dyDescent="0.2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2.75" customHeight="1" x14ac:dyDescent="0.2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2.75" customHeight="1" x14ac:dyDescent="0.2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2.75" customHeight="1" x14ac:dyDescent="0.2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2.75" customHeight="1" x14ac:dyDescent="0.2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2.75" customHeight="1" x14ac:dyDescent="0.2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2.75" customHeight="1" x14ac:dyDescent="0.2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2.75" customHeight="1" x14ac:dyDescent="0.2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2.75" customHeight="1" x14ac:dyDescent="0.2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2.75" customHeight="1" x14ac:dyDescent="0.2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2.75" customHeight="1" x14ac:dyDescent="0.2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2.75" customHeight="1" x14ac:dyDescent="0.2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2.75" customHeight="1" x14ac:dyDescent="0.2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2.75" customHeight="1" x14ac:dyDescent="0.2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2.75" customHeight="1" x14ac:dyDescent="0.2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2.75" customHeight="1" x14ac:dyDescent="0.2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2.75" customHeight="1" x14ac:dyDescent="0.2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2.75" customHeight="1" x14ac:dyDescent="0.2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2.75" customHeight="1" x14ac:dyDescent="0.2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2.75" customHeight="1" x14ac:dyDescent="0.2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2.75" customHeight="1" x14ac:dyDescent="0.2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2.75" customHeight="1" x14ac:dyDescent="0.2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2.75" customHeight="1" x14ac:dyDescent="0.2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2.75" customHeight="1" x14ac:dyDescent="0.2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2.75" customHeight="1" x14ac:dyDescent="0.2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2.75" customHeight="1" x14ac:dyDescent="0.2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2.75" customHeight="1" x14ac:dyDescent="0.2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2.75" customHeight="1" x14ac:dyDescent="0.2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2.75" customHeight="1" x14ac:dyDescent="0.2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2.75" customHeight="1" x14ac:dyDescent="0.2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2.75" customHeight="1" x14ac:dyDescent="0.2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2.75" customHeight="1" x14ac:dyDescent="0.2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2.75" customHeight="1" x14ac:dyDescent="0.2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2.75" customHeight="1" x14ac:dyDescent="0.2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2.75" customHeight="1" x14ac:dyDescent="0.2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2.75" customHeight="1" x14ac:dyDescent="0.2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2.75" customHeight="1" x14ac:dyDescent="0.2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2.75" customHeight="1" x14ac:dyDescent="0.2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2.75" customHeight="1" x14ac:dyDescent="0.2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2.75" customHeight="1" x14ac:dyDescent="0.2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2.75" customHeight="1" x14ac:dyDescent="0.2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2.75" customHeight="1" x14ac:dyDescent="0.2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2.75" customHeight="1" x14ac:dyDescent="0.2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2.75" customHeight="1" x14ac:dyDescent="0.2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2.75" customHeight="1" x14ac:dyDescent="0.2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2.75" customHeight="1" x14ac:dyDescent="0.25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2.75" customHeight="1" x14ac:dyDescent="0.2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2.75" customHeight="1" x14ac:dyDescent="0.25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2.75" customHeight="1" x14ac:dyDescent="0.2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2.75" customHeight="1" x14ac:dyDescent="0.2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2.75" customHeight="1" x14ac:dyDescent="0.25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2.75" customHeight="1" x14ac:dyDescent="0.25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2.75" customHeight="1" x14ac:dyDescent="0.2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2.75" customHeight="1" x14ac:dyDescent="0.2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2.75" customHeight="1" x14ac:dyDescent="0.25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2.75" customHeight="1" x14ac:dyDescent="0.2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2.75" customHeight="1" x14ac:dyDescent="0.25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2.75" customHeight="1" x14ac:dyDescent="0.25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2.75" customHeight="1" x14ac:dyDescent="0.2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2.75" customHeight="1" x14ac:dyDescent="0.25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2.75" customHeight="1" x14ac:dyDescent="0.25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2.75" customHeight="1" x14ac:dyDescent="0.2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2.75" customHeight="1" x14ac:dyDescent="0.25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2.75" customHeight="1" x14ac:dyDescent="0.25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2.75" customHeight="1" x14ac:dyDescent="0.2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2.75" customHeight="1" x14ac:dyDescent="0.25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2.75" customHeight="1" x14ac:dyDescent="0.25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2.75" customHeight="1" x14ac:dyDescent="0.2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2.75" customHeight="1" x14ac:dyDescent="0.2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2.75" customHeight="1" x14ac:dyDescent="0.25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3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5.75" customHeight="1" x14ac:dyDescent="0.3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5.75" customHeight="1" x14ac:dyDescent="0.3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5.75" customHeight="1" x14ac:dyDescent="0.3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5.75" customHeight="1" x14ac:dyDescent="0.3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5.75" customHeight="1" x14ac:dyDescent="0.3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5.75" customHeight="1" x14ac:dyDescent="0.3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5.75" customHeight="1" x14ac:dyDescent="0.3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5.75" customHeight="1" x14ac:dyDescent="0.3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75" customHeight="1" x14ac:dyDescent="0.3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5.75" customHeight="1" x14ac:dyDescent="0.3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5.75" customHeight="1" x14ac:dyDescent="0.3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5.75" customHeight="1" x14ac:dyDescent="0.3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5.75" customHeight="1" x14ac:dyDescent="0.3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5.75" customHeight="1" x14ac:dyDescent="0.3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5.75" customHeight="1" x14ac:dyDescent="0.3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5.75" customHeight="1" x14ac:dyDescent="0.3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5.75" customHeight="1" x14ac:dyDescent="0.3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5.75" customHeight="1" x14ac:dyDescent="0.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5.75" customHeight="1" x14ac:dyDescent="0.3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5.75" customHeight="1" x14ac:dyDescent="0.3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5.75" customHeight="1" x14ac:dyDescent="0.3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5.75" customHeight="1" x14ac:dyDescent="0.3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5.75" customHeight="1" x14ac:dyDescent="0.3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5.75" customHeight="1" x14ac:dyDescent="0.3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5.75" customHeight="1" x14ac:dyDescent="0.3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5.75" customHeight="1" x14ac:dyDescent="0.3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5.75" customHeight="1" x14ac:dyDescent="0.3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5.75" customHeight="1" x14ac:dyDescent="0.3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5.75" customHeight="1" x14ac:dyDescent="0.3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5.75" customHeight="1" x14ac:dyDescent="0.3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5.75" customHeight="1" x14ac:dyDescent="0.3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5.75" customHeight="1" x14ac:dyDescent="0.3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5.75" customHeight="1" x14ac:dyDescent="0.3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5.75" customHeight="1" x14ac:dyDescent="0.3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5.75" customHeight="1" x14ac:dyDescent="0.3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5.75" customHeight="1" x14ac:dyDescent="0.3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5.75" customHeight="1" x14ac:dyDescent="0.3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5.75" customHeight="1" x14ac:dyDescent="0.3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5.75" customHeight="1" x14ac:dyDescent="0.3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5.75" customHeight="1" x14ac:dyDescent="0.3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5.75" customHeight="1" x14ac:dyDescent="0.3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5.75" customHeight="1" x14ac:dyDescent="0.3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5.75" customHeight="1" x14ac:dyDescent="0.3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5.75" customHeight="1" x14ac:dyDescent="0.3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5.75" customHeight="1" x14ac:dyDescent="0.3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5.75" customHeight="1" x14ac:dyDescent="0.3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5.75" customHeight="1" x14ac:dyDescent="0.3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5.75" customHeight="1" x14ac:dyDescent="0.3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5.75" customHeight="1" x14ac:dyDescent="0.3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5.75" customHeight="1" x14ac:dyDescent="0.3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5.75" customHeight="1" x14ac:dyDescent="0.3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5.75" customHeight="1" x14ac:dyDescent="0.3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5.75" customHeight="1" x14ac:dyDescent="0.3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5.75" customHeight="1" x14ac:dyDescent="0.3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5.75" customHeight="1" x14ac:dyDescent="0.3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5.75" customHeight="1" x14ac:dyDescent="0.3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5.75" customHeight="1" x14ac:dyDescent="0.3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5.75" customHeight="1" x14ac:dyDescent="0.3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5.75" customHeight="1" x14ac:dyDescent="0.3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5.75" customHeight="1" x14ac:dyDescent="0.3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5.75" customHeight="1" x14ac:dyDescent="0.3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5.75" customHeight="1" x14ac:dyDescent="0.3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5.75" customHeight="1" x14ac:dyDescent="0.3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5.75" customHeight="1" x14ac:dyDescent="0.3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5.75" customHeight="1" x14ac:dyDescent="0.3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5.75" customHeight="1" x14ac:dyDescent="0.3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5.75" customHeight="1" x14ac:dyDescent="0.3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5.75" customHeight="1" x14ac:dyDescent="0.3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5.75" customHeight="1" x14ac:dyDescent="0.3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5.75" customHeight="1" x14ac:dyDescent="0.3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5.75" customHeight="1" x14ac:dyDescent="0.3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5.75" customHeight="1" x14ac:dyDescent="0.3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5.75" customHeight="1" x14ac:dyDescent="0.3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5.75" customHeight="1" x14ac:dyDescent="0.3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5.75" customHeight="1" x14ac:dyDescent="0.3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5.75" customHeight="1" x14ac:dyDescent="0.3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5.75" customHeight="1" x14ac:dyDescent="0.3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5.75" customHeight="1" x14ac:dyDescent="0.3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5.75" customHeight="1" x14ac:dyDescent="0.3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5.75" customHeight="1" x14ac:dyDescent="0.3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5.75" customHeight="1" x14ac:dyDescent="0.3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5.75" customHeight="1" x14ac:dyDescent="0.3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5.75" customHeight="1" x14ac:dyDescent="0.3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5.75" customHeight="1" x14ac:dyDescent="0.3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5.75" customHeight="1" x14ac:dyDescent="0.3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5.75" customHeight="1" x14ac:dyDescent="0.3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5.75" customHeight="1" x14ac:dyDescent="0.3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5.75" customHeight="1" x14ac:dyDescent="0.3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5.75" customHeight="1" x14ac:dyDescent="0.3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5.75" customHeight="1" x14ac:dyDescent="0.3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5.75" customHeight="1" x14ac:dyDescent="0.3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5.75" customHeight="1" x14ac:dyDescent="0.3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5.75" customHeight="1" x14ac:dyDescent="0.3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5.75" customHeight="1" x14ac:dyDescent="0.3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5.75" customHeight="1" x14ac:dyDescent="0.3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5.75" customHeight="1" x14ac:dyDescent="0.3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5.75" customHeight="1" x14ac:dyDescent="0.3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5.75" customHeight="1" x14ac:dyDescent="0.3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5.75" customHeight="1" x14ac:dyDescent="0.3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5.75" customHeight="1" x14ac:dyDescent="0.3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5.75" customHeight="1" x14ac:dyDescent="0.3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5.75" customHeight="1" x14ac:dyDescent="0.3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5.75" customHeight="1" x14ac:dyDescent="0.3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5.75" customHeight="1" x14ac:dyDescent="0.3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5.75" customHeight="1" x14ac:dyDescent="0.3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5.75" customHeight="1" x14ac:dyDescent="0.3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5.75" customHeight="1" x14ac:dyDescent="0.3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5.75" customHeight="1" x14ac:dyDescent="0.3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5.75" customHeight="1" x14ac:dyDescent="0.3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5.75" customHeight="1" x14ac:dyDescent="0.3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5.75" customHeight="1" x14ac:dyDescent="0.3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5.75" customHeight="1" x14ac:dyDescent="0.3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5.75" customHeight="1" x14ac:dyDescent="0.3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5.75" customHeight="1" x14ac:dyDescent="0.3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5.75" customHeight="1" x14ac:dyDescent="0.3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5.75" customHeight="1" x14ac:dyDescent="0.3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5.75" customHeight="1" x14ac:dyDescent="0.3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5.75" customHeight="1" x14ac:dyDescent="0.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5.75" customHeight="1" x14ac:dyDescent="0.3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5.75" customHeight="1" x14ac:dyDescent="0.3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5.75" customHeight="1" x14ac:dyDescent="0.3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5.75" customHeight="1" x14ac:dyDescent="0.3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5.75" customHeight="1" x14ac:dyDescent="0.3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5.75" customHeight="1" x14ac:dyDescent="0.3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5.75" customHeight="1" x14ac:dyDescent="0.3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5.75" customHeight="1" x14ac:dyDescent="0.3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5.75" customHeight="1" x14ac:dyDescent="0.3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5.75" customHeight="1" x14ac:dyDescent="0.3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5.75" customHeight="1" x14ac:dyDescent="0.3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5.75" customHeight="1" x14ac:dyDescent="0.3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5.75" customHeight="1" x14ac:dyDescent="0.3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5.75" customHeight="1" x14ac:dyDescent="0.3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5.75" customHeight="1" x14ac:dyDescent="0.3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5.75" customHeight="1" x14ac:dyDescent="0.3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5.75" customHeight="1" x14ac:dyDescent="0.3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5.75" customHeight="1" x14ac:dyDescent="0.3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5.75" customHeight="1" x14ac:dyDescent="0.3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5.75" customHeight="1" x14ac:dyDescent="0.3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5.75" customHeight="1" x14ac:dyDescent="0.3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5.75" customHeight="1" x14ac:dyDescent="0.3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5.75" customHeight="1" x14ac:dyDescent="0.3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5.75" customHeight="1" x14ac:dyDescent="0.3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5.75" customHeight="1" x14ac:dyDescent="0.3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5.75" customHeight="1" x14ac:dyDescent="0.3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5.75" customHeight="1" x14ac:dyDescent="0.3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5.75" customHeight="1" x14ac:dyDescent="0.3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5.75" customHeight="1" x14ac:dyDescent="0.3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5.75" customHeight="1" x14ac:dyDescent="0.3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5.75" customHeight="1" x14ac:dyDescent="0.3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5.75" customHeight="1" x14ac:dyDescent="0.3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5.75" customHeight="1" x14ac:dyDescent="0.3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5.75" customHeight="1" x14ac:dyDescent="0.3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5.75" customHeight="1" x14ac:dyDescent="0.3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5.75" customHeight="1" x14ac:dyDescent="0.3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5.75" customHeight="1" x14ac:dyDescent="0.3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5.75" customHeight="1" x14ac:dyDescent="0.3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5.75" customHeight="1" x14ac:dyDescent="0.3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5.75" customHeight="1" x14ac:dyDescent="0.3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5.75" customHeight="1" x14ac:dyDescent="0.3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5.75" customHeight="1" x14ac:dyDescent="0.3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5.75" customHeight="1" x14ac:dyDescent="0.3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5.75" customHeight="1" x14ac:dyDescent="0.3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5.75" customHeight="1" x14ac:dyDescent="0.3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5.75" customHeight="1" x14ac:dyDescent="0.3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5.75" customHeight="1" x14ac:dyDescent="0.3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5.75" customHeight="1" x14ac:dyDescent="0.3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5.75" customHeight="1" x14ac:dyDescent="0.3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5.75" customHeight="1" x14ac:dyDescent="0.3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5.75" customHeight="1" x14ac:dyDescent="0.3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5.75" customHeight="1" x14ac:dyDescent="0.3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5.75" customHeight="1" x14ac:dyDescent="0.3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5.75" customHeight="1" x14ac:dyDescent="0.3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5.75" customHeight="1" x14ac:dyDescent="0.3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5.75" customHeight="1" x14ac:dyDescent="0.3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5.75" customHeight="1" x14ac:dyDescent="0.3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5.75" customHeight="1" x14ac:dyDescent="0.3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5.75" customHeight="1" x14ac:dyDescent="0.3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5.75" customHeight="1" x14ac:dyDescent="0.3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5.75" customHeight="1" x14ac:dyDescent="0.3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5.75" customHeight="1" x14ac:dyDescent="0.3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5.75" customHeight="1" x14ac:dyDescent="0.3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5.75" customHeight="1" x14ac:dyDescent="0.3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5.75" customHeight="1" x14ac:dyDescent="0.3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5.75" customHeight="1" x14ac:dyDescent="0.3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5.75" customHeight="1" x14ac:dyDescent="0.3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5.75" customHeight="1" x14ac:dyDescent="0.3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5.75" customHeight="1" x14ac:dyDescent="0.3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5.75" customHeight="1" x14ac:dyDescent="0.3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5.75" customHeight="1" x14ac:dyDescent="0.3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5.75" customHeight="1" x14ac:dyDescent="0.3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5.75" customHeight="1" x14ac:dyDescent="0.3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5.75" customHeight="1" x14ac:dyDescent="0.3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5.75" customHeight="1" x14ac:dyDescent="0.3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5.75" customHeight="1" x14ac:dyDescent="0.3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5.75" customHeight="1" x14ac:dyDescent="0.3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5.75" customHeight="1" x14ac:dyDescent="0.3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5.75" customHeight="1" x14ac:dyDescent="0.3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5.75" customHeight="1" x14ac:dyDescent="0.3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5.75" customHeight="1" x14ac:dyDescent="0.3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5.75" customHeight="1" x14ac:dyDescent="0.3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5.75" customHeight="1" x14ac:dyDescent="0.3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5.75" customHeight="1" x14ac:dyDescent="0.3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5.75" customHeight="1" x14ac:dyDescent="0.3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5.75" customHeight="1" x14ac:dyDescent="0.3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5.75" customHeight="1" x14ac:dyDescent="0.3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5.75" customHeight="1" x14ac:dyDescent="0.3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5.75" customHeight="1" x14ac:dyDescent="0.3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5.75" customHeight="1" x14ac:dyDescent="0.3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5.75" customHeight="1" x14ac:dyDescent="0.3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5.75" customHeight="1" x14ac:dyDescent="0.3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5.75" customHeight="1" x14ac:dyDescent="0.3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5.75" customHeight="1" x14ac:dyDescent="0.3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5.75" customHeight="1" x14ac:dyDescent="0.3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5.75" customHeight="1" x14ac:dyDescent="0.3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5.75" customHeight="1" x14ac:dyDescent="0.3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5.75" customHeight="1" x14ac:dyDescent="0.3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5.75" customHeight="1" x14ac:dyDescent="0.3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5.75" customHeight="1" x14ac:dyDescent="0.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5.75" customHeight="1" x14ac:dyDescent="0.3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5.75" customHeight="1" x14ac:dyDescent="0.3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5.75" customHeight="1" x14ac:dyDescent="0.3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5.75" customHeight="1" x14ac:dyDescent="0.3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5.75" customHeight="1" x14ac:dyDescent="0.3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5.75" customHeight="1" x14ac:dyDescent="0.3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5.75" customHeight="1" x14ac:dyDescent="0.3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5.75" customHeight="1" x14ac:dyDescent="0.3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5.75" customHeight="1" x14ac:dyDescent="0.3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5.75" customHeight="1" x14ac:dyDescent="0.3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5.75" customHeight="1" x14ac:dyDescent="0.3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5.75" customHeight="1" x14ac:dyDescent="0.3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5.75" customHeight="1" x14ac:dyDescent="0.3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5.75" customHeight="1" x14ac:dyDescent="0.3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5.75" customHeight="1" x14ac:dyDescent="0.3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5.75" customHeight="1" x14ac:dyDescent="0.3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5.75" customHeight="1" x14ac:dyDescent="0.3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5.75" customHeight="1" x14ac:dyDescent="0.3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5.75" customHeight="1" x14ac:dyDescent="0.3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5.75" customHeight="1" x14ac:dyDescent="0.3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5.75" customHeight="1" x14ac:dyDescent="0.3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5.75" customHeight="1" x14ac:dyDescent="0.3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5.75" customHeight="1" x14ac:dyDescent="0.3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5.75" customHeight="1" x14ac:dyDescent="0.3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5.75" customHeight="1" x14ac:dyDescent="0.3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5.75" customHeight="1" x14ac:dyDescent="0.3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5.75" customHeight="1" x14ac:dyDescent="0.3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5.75" customHeight="1" x14ac:dyDescent="0.3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5.75" customHeight="1" x14ac:dyDescent="0.3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5.75" customHeight="1" x14ac:dyDescent="0.3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5.75" customHeight="1" x14ac:dyDescent="0.3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5.75" customHeight="1" x14ac:dyDescent="0.3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5.75" customHeight="1" x14ac:dyDescent="0.3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5.75" customHeight="1" x14ac:dyDescent="0.3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5.75" customHeight="1" x14ac:dyDescent="0.3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5.75" customHeight="1" x14ac:dyDescent="0.3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5.75" customHeight="1" x14ac:dyDescent="0.3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5.75" customHeight="1" x14ac:dyDescent="0.3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5.75" customHeight="1" x14ac:dyDescent="0.3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5.75" customHeight="1" x14ac:dyDescent="0.3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5.75" customHeight="1" x14ac:dyDescent="0.3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5.75" customHeight="1" x14ac:dyDescent="0.3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5.75" customHeight="1" x14ac:dyDescent="0.3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5.75" customHeight="1" x14ac:dyDescent="0.3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5.75" customHeight="1" x14ac:dyDescent="0.3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5.75" customHeight="1" x14ac:dyDescent="0.3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5.75" customHeight="1" x14ac:dyDescent="0.3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5.75" customHeight="1" x14ac:dyDescent="0.3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5.75" customHeight="1" x14ac:dyDescent="0.3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5.75" customHeight="1" x14ac:dyDescent="0.3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5.75" customHeight="1" x14ac:dyDescent="0.3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5.75" customHeight="1" x14ac:dyDescent="0.3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5.75" customHeight="1" x14ac:dyDescent="0.3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5.75" customHeight="1" x14ac:dyDescent="0.3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5.75" customHeight="1" x14ac:dyDescent="0.3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5.75" customHeight="1" x14ac:dyDescent="0.3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5.75" customHeight="1" x14ac:dyDescent="0.3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5.75" customHeight="1" x14ac:dyDescent="0.3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5.75" customHeight="1" x14ac:dyDescent="0.3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5.75" customHeight="1" x14ac:dyDescent="0.3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5.75" customHeight="1" x14ac:dyDescent="0.3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5.75" customHeight="1" x14ac:dyDescent="0.3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5.75" customHeight="1" x14ac:dyDescent="0.3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5.75" customHeight="1" x14ac:dyDescent="0.3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5.75" customHeight="1" x14ac:dyDescent="0.3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5.75" customHeight="1" x14ac:dyDescent="0.3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5.75" customHeight="1" x14ac:dyDescent="0.3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5.75" customHeight="1" x14ac:dyDescent="0.3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5.75" customHeight="1" x14ac:dyDescent="0.3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5.75" customHeight="1" x14ac:dyDescent="0.3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5.75" customHeight="1" x14ac:dyDescent="0.3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5.75" customHeight="1" x14ac:dyDescent="0.3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5.75" customHeight="1" x14ac:dyDescent="0.3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5.75" customHeight="1" x14ac:dyDescent="0.3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5.75" customHeight="1" x14ac:dyDescent="0.3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5.75" customHeight="1" x14ac:dyDescent="0.3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5.75" customHeight="1" x14ac:dyDescent="0.3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5.75" customHeight="1" x14ac:dyDescent="0.3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5.75" customHeight="1" x14ac:dyDescent="0.3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5.75" customHeight="1" x14ac:dyDescent="0.3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5.75" customHeight="1" x14ac:dyDescent="0.3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5.75" customHeight="1" x14ac:dyDescent="0.3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5.75" customHeight="1" x14ac:dyDescent="0.3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5.75" customHeight="1" x14ac:dyDescent="0.3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5.75" customHeight="1" x14ac:dyDescent="0.3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5.75" customHeight="1" x14ac:dyDescent="0.3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5.75" customHeight="1" x14ac:dyDescent="0.3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5.75" customHeight="1" x14ac:dyDescent="0.3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5.75" customHeight="1" x14ac:dyDescent="0.3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5.75" customHeight="1" x14ac:dyDescent="0.3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5.75" customHeight="1" x14ac:dyDescent="0.3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5.75" customHeight="1" x14ac:dyDescent="0.3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5.75" customHeight="1" x14ac:dyDescent="0.3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5.75" customHeight="1" x14ac:dyDescent="0.3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5.75" customHeight="1" x14ac:dyDescent="0.3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5.75" customHeight="1" x14ac:dyDescent="0.3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5.75" customHeight="1" x14ac:dyDescent="0.3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5.75" customHeight="1" x14ac:dyDescent="0.3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5.75" customHeight="1" x14ac:dyDescent="0.3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5.75" customHeight="1" x14ac:dyDescent="0.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5.75" customHeight="1" x14ac:dyDescent="0.3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5.75" customHeight="1" x14ac:dyDescent="0.3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5.75" customHeight="1" x14ac:dyDescent="0.3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5.75" customHeight="1" x14ac:dyDescent="0.3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5.75" customHeight="1" x14ac:dyDescent="0.3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5.75" customHeight="1" x14ac:dyDescent="0.3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5.75" customHeight="1" x14ac:dyDescent="0.3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5.75" customHeight="1" x14ac:dyDescent="0.3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5.75" customHeight="1" x14ac:dyDescent="0.3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5.75" customHeight="1" x14ac:dyDescent="0.3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5.75" customHeight="1" x14ac:dyDescent="0.3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5.75" customHeight="1" x14ac:dyDescent="0.3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5.75" customHeight="1" x14ac:dyDescent="0.3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5.75" customHeight="1" x14ac:dyDescent="0.3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5.75" customHeight="1" x14ac:dyDescent="0.3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5.75" customHeight="1" x14ac:dyDescent="0.3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5.75" customHeight="1" x14ac:dyDescent="0.3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5.75" customHeight="1" x14ac:dyDescent="0.3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5.75" customHeight="1" x14ac:dyDescent="0.3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5.75" customHeight="1" x14ac:dyDescent="0.3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5.75" customHeight="1" x14ac:dyDescent="0.3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5.75" customHeight="1" x14ac:dyDescent="0.3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5.75" customHeight="1" x14ac:dyDescent="0.3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5.75" customHeight="1" x14ac:dyDescent="0.3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5.75" customHeight="1" x14ac:dyDescent="0.3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5.75" customHeight="1" x14ac:dyDescent="0.3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5.75" customHeight="1" x14ac:dyDescent="0.3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5.75" customHeight="1" x14ac:dyDescent="0.3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5.75" customHeight="1" x14ac:dyDescent="0.3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5.75" customHeight="1" x14ac:dyDescent="0.3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5.75" customHeight="1" x14ac:dyDescent="0.3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5.75" customHeight="1" x14ac:dyDescent="0.3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5.75" customHeight="1" x14ac:dyDescent="0.3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5.75" customHeight="1" x14ac:dyDescent="0.3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5.75" customHeight="1" x14ac:dyDescent="0.3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5.75" customHeight="1" x14ac:dyDescent="0.3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5.75" customHeight="1" x14ac:dyDescent="0.3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5.75" customHeight="1" x14ac:dyDescent="0.3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5.75" customHeight="1" x14ac:dyDescent="0.3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5.75" customHeight="1" x14ac:dyDescent="0.3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5.75" customHeight="1" x14ac:dyDescent="0.3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5.75" customHeight="1" x14ac:dyDescent="0.3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5.75" customHeight="1" x14ac:dyDescent="0.3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5.75" customHeight="1" x14ac:dyDescent="0.3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5.75" customHeight="1" x14ac:dyDescent="0.3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5.75" customHeight="1" x14ac:dyDescent="0.3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5.75" customHeight="1" x14ac:dyDescent="0.3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5.75" customHeight="1" x14ac:dyDescent="0.3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5.75" customHeight="1" x14ac:dyDescent="0.3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5.75" customHeight="1" x14ac:dyDescent="0.3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5.75" customHeight="1" x14ac:dyDescent="0.3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5.75" customHeight="1" x14ac:dyDescent="0.3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5.75" customHeight="1" x14ac:dyDescent="0.3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5.75" customHeight="1" x14ac:dyDescent="0.3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5.75" customHeight="1" x14ac:dyDescent="0.3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5.75" customHeight="1" x14ac:dyDescent="0.3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5.75" customHeight="1" x14ac:dyDescent="0.3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5.75" customHeight="1" x14ac:dyDescent="0.3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5.75" customHeight="1" x14ac:dyDescent="0.3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5.75" customHeight="1" x14ac:dyDescent="0.3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5.75" customHeight="1" x14ac:dyDescent="0.3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5.75" customHeight="1" x14ac:dyDescent="0.3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5.75" customHeight="1" x14ac:dyDescent="0.3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5.75" customHeight="1" x14ac:dyDescent="0.3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5.75" customHeight="1" x14ac:dyDescent="0.3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5.75" customHeight="1" x14ac:dyDescent="0.3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5.75" customHeight="1" x14ac:dyDescent="0.3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5.75" customHeight="1" x14ac:dyDescent="0.3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5.75" customHeight="1" x14ac:dyDescent="0.3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5.75" customHeight="1" x14ac:dyDescent="0.3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5.75" customHeight="1" x14ac:dyDescent="0.3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5.75" customHeight="1" x14ac:dyDescent="0.3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5.75" customHeight="1" x14ac:dyDescent="0.3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5.75" customHeight="1" x14ac:dyDescent="0.3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5.75" customHeight="1" x14ac:dyDescent="0.3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5.75" customHeight="1" x14ac:dyDescent="0.3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5.75" customHeight="1" x14ac:dyDescent="0.3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5.75" customHeight="1" x14ac:dyDescent="0.3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5.75" customHeight="1" x14ac:dyDescent="0.3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5.75" customHeight="1" x14ac:dyDescent="0.3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5.75" customHeight="1" x14ac:dyDescent="0.3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5.75" customHeight="1" x14ac:dyDescent="0.3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5.75" customHeight="1" x14ac:dyDescent="0.3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5.75" customHeight="1" x14ac:dyDescent="0.3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5.75" customHeight="1" x14ac:dyDescent="0.3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5.75" customHeight="1" x14ac:dyDescent="0.3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5.75" customHeight="1" x14ac:dyDescent="0.3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5.75" customHeight="1" x14ac:dyDescent="0.3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5.75" customHeight="1" x14ac:dyDescent="0.3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5.75" customHeight="1" x14ac:dyDescent="0.3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5.75" customHeight="1" x14ac:dyDescent="0.3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5.75" customHeight="1" x14ac:dyDescent="0.3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5.75" customHeight="1" x14ac:dyDescent="0.3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5.75" customHeight="1" x14ac:dyDescent="0.3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5.75" customHeight="1" x14ac:dyDescent="0.3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5.75" customHeight="1" x14ac:dyDescent="0.3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5.75" customHeight="1" x14ac:dyDescent="0.3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5.75" customHeight="1" x14ac:dyDescent="0.3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5.75" customHeight="1" x14ac:dyDescent="0.3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5.75" customHeight="1" x14ac:dyDescent="0.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5.75" customHeight="1" x14ac:dyDescent="0.3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5.75" customHeight="1" x14ac:dyDescent="0.3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5.75" customHeight="1" x14ac:dyDescent="0.3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5.75" customHeight="1" x14ac:dyDescent="0.3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5.75" customHeight="1" x14ac:dyDescent="0.3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5.75" customHeight="1" x14ac:dyDescent="0.3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5.75" customHeight="1" x14ac:dyDescent="0.3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5.75" customHeight="1" x14ac:dyDescent="0.3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5.75" customHeight="1" x14ac:dyDescent="0.3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5.75" customHeight="1" x14ac:dyDescent="0.3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5.75" customHeight="1" x14ac:dyDescent="0.3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5.75" customHeight="1" x14ac:dyDescent="0.3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5.75" customHeight="1" x14ac:dyDescent="0.3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5.75" customHeight="1" x14ac:dyDescent="0.3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5.75" customHeight="1" x14ac:dyDescent="0.3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5.75" customHeight="1" x14ac:dyDescent="0.3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5.75" customHeight="1" x14ac:dyDescent="0.3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5.75" customHeight="1" x14ac:dyDescent="0.3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5.75" customHeight="1" x14ac:dyDescent="0.3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5.75" customHeight="1" x14ac:dyDescent="0.3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5.75" customHeight="1" x14ac:dyDescent="0.3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5.75" customHeight="1" x14ac:dyDescent="0.3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5.75" customHeight="1" x14ac:dyDescent="0.3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5.75" customHeight="1" x14ac:dyDescent="0.3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5.75" customHeight="1" x14ac:dyDescent="0.3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5.75" customHeight="1" x14ac:dyDescent="0.3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5.75" customHeight="1" x14ac:dyDescent="0.3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5.75" customHeight="1" x14ac:dyDescent="0.3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5.75" customHeight="1" x14ac:dyDescent="0.3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5.75" customHeight="1" x14ac:dyDescent="0.3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5.75" customHeight="1" x14ac:dyDescent="0.3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5.75" customHeight="1" x14ac:dyDescent="0.3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5.75" customHeight="1" x14ac:dyDescent="0.3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5.75" customHeight="1" x14ac:dyDescent="0.3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5.75" customHeight="1" x14ac:dyDescent="0.3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5.75" customHeight="1" x14ac:dyDescent="0.3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5.75" customHeight="1" x14ac:dyDescent="0.3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5.75" customHeight="1" x14ac:dyDescent="0.3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5.75" customHeight="1" x14ac:dyDescent="0.3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5.75" customHeight="1" x14ac:dyDescent="0.3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5.75" customHeight="1" x14ac:dyDescent="0.3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5.75" customHeight="1" x14ac:dyDescent="0.3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5.75" customHeight="1" x14ac:dyDescent="0.3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5.75" customHeight="1" x14ac:dyDescent="0.3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5.75" customHeight="1" x14ac:dyDescent="0.3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5.75" customHeight="1" x14ac:dyDescent="0.3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5.75" customHeight="1" x14ac:dyDescent="0.3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5.75" customHeight="1" x14ac:dyDescent="0.3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5.75" customHeight="1" x14ac:dyDescent="0.3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5.75" customHeight="1" x14ac:dyDescent="0.3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5.75" customHeight="1" x14ac:dyDescent="0.3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5.75" customHeight="1" x14ac:dyDescent="0.3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5.75" customHeight="1" x14ac:dyDescent="0.3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5.75" customHeight="1" x14ac:dyDescent="0.3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5.75" customHeight="1" x14ac:dyDescent="0.3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5.75" customHeight="1" x14ac:dyDescent="0.3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5.75" customHeight="1" x14ac:dyDescent="0.3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5.75" customHeight="1" x14ac:dyDescent="0.3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5.75" customHeight="1" x14ac:dyDescent="0.3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5.75" customHeight="1" x14ac:dyDescent="0.3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5.75" customHeight="1" x14ac:dyDescent="0.3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5.75" customHeight="1" x14ac:dyDescent="0.3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5.75" customHeight="1" x14ac:dyDescent="0.3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5.75" customHeight="1" x14ac:dyDescent="0.3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5.75" customHeight="1" x14ac:dyDescent="0.3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5.75" customHeight="1" x14ac:dyDescent="0.3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5.75" customHeight="1" x14ac:dyDescent="0.3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5.75" customHeight="1" x14ac:dyDescent="0.3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5.75" customHeight="1" x14ac:dyDescent="0.3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5.75" customHeight="1" x14ac:dyDescent="0.3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5.75" customHeight="1" x14ac:dyDescent="0.3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5.75" customHeight="1" x14ac:dyDescent="0.3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5.75" customHeight="1" x14ac:dyDescent="0.3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5.75" customHeight="1" x14ac:dyDescent="0.3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5.75" customHeight="1" x14ac:dyDescent="0.3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5.75" customHeight="1" x14ac:dyDescent="0.3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5.75" customHeight="1" x14ac:dyDescent="0.3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5.75" customHeight="1" x14ac:dyDescent="0.3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5.75" customHeight="1" x14ac:dyDescent="0.3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5.75" customHeight="1" x14ac:dyDescent="0.3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5.75" customHeight="1" x14ac:dyDescent="0.3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5.75" customHeight="1" x14ac:dyDescent="0.3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5.75" customHeight="1" x14ac:dyDescent="0.3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5.75" customHeight="1" x14ac:dyDescent="0.3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5.75" customHeight="1" x14ac:dyDescent="0.3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5.75" customHeight="1" x14ac:dyDescent="0.3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5.75" customHeight="1" x14ac:dyDescent="0.3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5.75" customHeight="1" x14ac:dyDescent="0.3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5.75" customHeight="1" x14ac:dyDescent="0.3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5.75" customHeight="1" x14ac:dyDescent="0.3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5.75" customHeight="1" x14ac:dyDescent="0.3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5.75" customHeight="1" x14ac:dyDescent="0.3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5.75" customHeight="1" x14ac:dyDescent="0.3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5.75" customHeight="1" x14ac:dyDescent="0.3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5.75" customHeight="1" x14ac:dyDescent="0.3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5.75" customHeight="1" x14ac:dyDescent="0.3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5.75" customHeight="1" x14ac:dyDescent="0.3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5.75" customHeight="1" x14ac:dyDescent="0.3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5.75" customHeight="1" x14ac:dyDescent="0.3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5.75" customHeight="1" x14ac:dyDescent="0.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5.75" customHeight="1" x14ac:dyDescent="0.3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5.75" customHeight="1" x14ac:dyDescent="0.3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5.75" customHeight="1" x14ac:dyDescent="0.3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5.75" customHeight="1" x14ac:dyDescent="0.3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5.75" customHeight="1" x14ac:dyDescent="0.3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5.75" customHeight="1" x14ac:dyDescent="0.3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5.75" customHeight="1" x14ac:dyDescent="0.3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5.75" customHeight="1" x14ac:dyDescent="0.3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5.75" customHeight="1" x14ac:dyDescent="0.3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5.75" customHeight="1" x14ac:dyDescent="0.3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5.75" customHeight="1" x14ac:dyDescent="0.3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5.75" customHeight="1" x14ac:dyDescent="0.3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5.75" customHeight="1" x14ac:dyDescent="0.3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5.75" customHeight="1" x14ac:dyDescent="0.3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5.75" customHeight="1" x14ac:dyDescent="0.3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5.75" customHeight="1" x14ac:dyDescent="0.3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5.75" customHeight="1" x14ac:dyDescent="0.3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5.75" customHeight="1" x14ac:dyDescent="0.3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5.75" customHeight="1" x14ac:dyDescent="0.3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5.75" customHeight="1" x14ac:dyDescent="0.3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5.75" customHeight="1" x14ac:dyDescent="0.3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5.75" customHeight="1" x14ac:dyDescent="0.3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5.75" customHeight="1" x14ac:dyDescent="0.3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5.75" customHeight="1" x14ac:dyDescent="0.3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5.75" customHeight="1" x14ac:dyDescent="0.3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5.75" customHeight="1" x14ac:dyDescent="0.3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5.75" customHeight="1" x14ac:dyDescent="0.3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5.75" customHeight="1" x14ac:dyDescent="0.3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5.75" customHeight="1" x14ac:dyDescent="0.3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5.75" customHeight="1" x14ac:dyDescent="0.3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5.75" customHeight="1" x14ac:dyDescent="0.3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5.75" customHeight="1" x14ac:dyDescent="0.3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5.75" customHeight="1" x14ac:dyDescent="0.3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5.75" customHeight="1" x14ac:dyDescent="0.3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5.75" customHeight="1" x14ac:dyDescent="0.3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5.75" customHeight="1" x14ac:dyDescent="0.3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5.75" customHeight="1" x14ac:dyDescent="0.3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5.75" customHeight="1" x14ac:dyDescent="0.3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5.75" customHeight="1" x14ac:dyDescent="0.3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5.75" customHeight="1" x14ac:dyDescent="0.3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5.75" customHeight="1" x14ac:dyDescent="0.3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5.75" customHeight="1" x14ac:dyDescent="0.3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5.75" customHeight="1" x14ac:dyDescent="0.3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5.75" customHeight="1" x14ac:dyDescent="0.3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5.75" customHeight="1" x14ac:dyDescent="0.3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5.75" customHeight="1" x14ac:dyDescent="0.3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5.75" customHeight="1" x14ac:dyDescent="0.3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5.75" customHeight="1" x14ac:dyDescent="0.3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5.75" customHeight="1" x14ac:dyDescent="0.3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5.75" customHeight="1" x14ac:dyDescent="0.3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5.75" customHeight="1" x14ac:dyDescent="0.3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5.75" customHeight="1" x14ac:dyDescent="0.3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5.75" customHeight="1" x14ac:dyDescent="0.3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5.75" customHeight="1" x14ac:dyDescent="0.3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5.75" customHeight="1" x14ac:dyDescent="0.3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5.75" customHeight="1" x14ac:dyDescent="0.3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5.75" customHeight="1" x14ac:dyDescent="0.3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5.75" customHeight="1" x14ac:dyDescent="0.3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5.75" customHeight="1" x14ac:dyDescent="0.3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5.75" customHeight="1" x14ac:dyDescent="0.3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5.75" customHeight="1" x14ac:dyDescent="0.3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5.75" customHeight="1" x14ac:dyDescent="0.3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5.75" customHeight="1" x14ac:dyDescent="0.3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5.75" customHeight="1" x14ac:dyDescent="0.3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5.75" customHeight="1" x14ac:dyDescent="0.3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5.75" customHeight="1" x14ac:dyDescent="0.3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5.75" customHeight="1" x14ac:dyDescent="0.3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5.75" customHeight="1" x14ac:dyDescent="0.3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5.75" customHeight="1" x14ac:dyDescent="0.3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5.75" customHeight="1" x14ac:dyDescent="0.3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5.75" customHeight="1" x14ac:dyDescent="0.3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5.75" customHeight="1" x14ac:dyDescent="0.3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5.75" customHeight="1" x14ac:dyDescent="0.3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5.75" customHeight="1" x14ac:dyDescent="0.3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5.75" customHeight="1" x14ac:dyDescent="0.3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5.75" customHeight="1" x14ac:dyDescent="0.3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5.75" customHeight="1" x14ac:dyDescent="0.3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5.75" customHeight="1" x14ac:dyDescent="0.3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5.75" customHeight="1" x14ac:dyDescent="0.3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5.75" customHeight="1" x14ac:dyDescent="0.3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5.75" customHeight="1" x14ac:dyDescent="0.3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5.75" customHeight="1" x14ac:dyDescent="0.3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5.75" customHeight="1" x14ac:dyDescent="0.3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5.75" customHeight="1" x14ac:dyDescent="0.3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5.75" customHeight="1" x14ac:dyDescent="0.3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5.75" customHeight="1" x14ac:dyDescent="0.3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5.75" customHeight="1" x14ac:dyDescent="0.3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5.75" customHeight="1" x14ac:dyDescent="0.3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5.75" customHeight="1" x14ac:dyDescent="0.3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5.75" customHeight="1" x14ac:dyDescent="0.3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5.75" customHeight="1" x14ac:dyDescent="0.3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5.75" customHeight="1" x14ac:dyDescent="0.3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5.75" customHeight="1" x14ac:dyDescent="0.3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5.75" customHeight="1" x14ac:dyDescent="0.3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5.75" customHeight="1" x14ac:dyDescent="0.3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5.75" customHeight="1" x14ac:dyDescent="0.3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5.75" customHeight="1" x14ac:dyDescent="0.3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5.75" customHeight="1" x14ac:dyDescent="0.3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5.75" customHeight="1" x14ac:dyDescent="0.3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5.75" customHeight="1" x14ac:dyDescent="0.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5.75" customHeight="1" x14ac:dyDescent="0.3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5.75" customHeight="1" x14ac:dyDescent="0.3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5.75" customHeight="1" x14ac:dyDescent="0.3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5.75" customHeight="1" x14ac:dyDescent="0.3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5.75" customHeight="1" x14ac:dyDescent="0.3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5.75" customHeight="1" x14ac:dyDescent="0.3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5.75" customHeight="1" x14ac:dyDescent="0.3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5.75" customHeight="1" x14ac:dyDescent="0.3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5.75" customHeight="1" x14ac:dyDescent="0.3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5.75" customHeight="1" x14ac:dyDescent="0.3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5.75" customHeight="1" x14ac:dyDescent="0.3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5.75" customHeight="1" x14ac:dyDescent="0.3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5.75" customHeight="1" x14ac:dyDescent="0.3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5.75" customHeight="1" x14ac:dyDescent="0.3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5.75" customHeight="1" x14ac:dyDescent="0.3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5.75" customHeight="1" x14ac:dyDescent="0.3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5.75" customHeight="1" x14ac:dyDescent="0.3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5.75" customHeight="1" x14ac:dyDescent="0.3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5.75" customHeight="1" x14ac:dyDescent="0.3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5.75" customHeight="1" x14ac:dyDescent="0.3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5.75" customHeight="1" x14ac:dyDescent="0.3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5.75" customHeight="1" x14ac:dyDescent="0.3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5.75" customHeight="1" x14ac:dyDescent="0.3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5.75" customHeight="1" x14ac:dyDescent="0.3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5.75" customHeight="1" x14ac:dyDescent="0.3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5.75" customHeight="1" x14ac:dyDescent="0.3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5.75" customHeight="1" x14ac:dyDescent="0.3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5.75" customHeight="1" x14ac:dyDescent="0.3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5.75" customHeight="1" x14ac:dyDescent="0.3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5.75" customHeight="1" x14ac:dyDescent="0.3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5.75" customHeight="1" x14ac:dyDescent="0.3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5.75" customHeight="1" x14ac:dyDescent="0.3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5.75" customHeight="1" x14ac:dyDescent="0.3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5.75" customHeight="1" x14ac:dyDescent="0.3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5.75" customHeight="1" x14ac:dyDescent="0.3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5.75" customHeight="1" x14ac:dyDescent="0.3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5.75" customHeight="1" x14ac:dyDescent="0.3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5.75" customHeight="1" x14ac:dyDescent="0.3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5.75" customHeight="1" x14ac:dyDescent="0.3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5.75" customHeight="1" x14ac:dyDescent="0.3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5.75" customHeight="1" x14ac:dyDescent="0.3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5.75" customHeight="1" x14ac:dyDescent="0.3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5.75" customHeight="1" x14ac:dyDescent="0.3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5.75" customHeight="1" x14ac:dyDescent="0.3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5.75" customHeight="1" x14ac:dyDescent="0.3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5.75" customHeight="1" x14ac:dyDescent="0.3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5.75" customHeight="1" x14ac:dyDescent="0.3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5.75" customHeight="1" x14ac:dyDescent="0.3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5.75" customHeight="1" x14ac:dyDescent="0.3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5.75" customHeight="1" x14ac:dyDescent="0.3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5.75" customHeight="1" x14ac:dyDescent="0.3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5.75" customHeight="1" x14ac:dyDescent="0.3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5.75" customHeight="1" x14ac:dyDescent="0.3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5.75" customHeight="1" x14ac:dyDescent="0.3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5.75" customHeight="1" x14ac:dyDescent="0.3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5.75" customHeight="1" x14ac:dyDescent="0.3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5.75" customHeight="1" x14ac:dyDescent="0.3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5.75" customHeight="1" x14ac:dyDescent="0.3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5.75" customHeight="1" x14ac:dyDescent="0.3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5.75" customHeight="1" x14ac:dyDescent="0.3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5.75" customHeight="1" x14ac:dyDescent="0.3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5.75" customHeight="1" x14ac:dyDescent="0.3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5.75" customHeight="1" x14ac:dyDescent="0.3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5.75" customHeight="1" x14ac:dyDescent="0.3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5.75" customHeight="1" x14ac:dyDescent="0.3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5.75" customHeight="1" x14ac:dyDescent="0.3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5.75" customHeight="1" x14ac:dyDescent="0.3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5.75" customHeight="1" x14ac:dyDescent="0.3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5.75" customHeight="1" x14ac:dyDescent="0.3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5.75" customHeight="1" x14ac:dyDescent="0.3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5.75" customHeight="1" x14ac:dyDescent="0.3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5.75" customHeight="1" x14ac:dyDescent="0.3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5.75" customHeight="1" x14ac:dyDescent="0.3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5.75" customHeight="1" x14ac:dyDescent="0.3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5.75" customHeight="1" x14ac:dyDescent="0.3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5.75" customHeight="1" x14ac:dyDescent="0.3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5.75" customHeight="1" x14ac:dyDescent="0.3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5.75" customHeight="1" x14ac:dyDescent="0.3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5.75" customHeight="1" x14ac:dyDescent="0.3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5.75" customHeight="1" x14ac:dyDescent="0.3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5.75" customHeight="1" x14ac:dyDescent="0.3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5.75" customHeight="1" x14ac:dyDescent="0.3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5.75" customHeight="1" x14ac:dyDescent="0.3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5.75" customHeight="1" x14ac:dyDescent="0.3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5.75" customHeight="1" x14ac:dyDescent="0.3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5.75" customHeight="1" x14ac:dyDescent="0.3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5.75" customHeight="1" x14ac:dyDescent="0.3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5.75" customHeight="1" x14ac:dyDescent="0.3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5.75" customHeight="1" x14ac:dyDescent="0.3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5.75" customHeight="1" x14ac:dyDescent="0.3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5.75" customHeight="1" x14ac:dyDescent="0.3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5.75" customHeight="1" x14ac:dyDescent="0.3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5.75" customHeight="1" x14ac:dyDescent="0.3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5.75" customHeight="1" x14ac:dyDescent="0.3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5.75" customHeight="1" x14ac:dyDescent="0.3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5.75" customHeight="1" x14ac:dyDescent="0.3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5.75" customHeight="1" x14ac:dyDescent="0.3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5.75" customHeight="1" x14ac:dyDescent="0.3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5.75" customHeight="1" x14ac:dyDescent="0.3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5.75" customHeight="1" x14ac:dyDescent="0.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5.75" customHeight="1" x14ac:dyDescent="0.3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5.75" customHeight="1" x14ac:dyDescent="0.3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5.75" customHeight="1" x14ac:dyDescent="0.3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5.75" customHeight="1" x14ac:dyDescent="0.3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5.75" customHeight="1" x14ac:dyDescent="0.3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5.75" customHeight="1" x14ac:dyDescent="0.3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5.75" customHeight="1" x14ac:dyDescent="0.3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5.75" customHeight="1" x14ac:dyDescent="0.3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5.75" customHeight="1" x14ac:dyDescent="0.3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5.75" customHeight="1" x14ac:dyDescent="0.3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5.75" customHeight="1" x14ac:dyDescent="0.3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5.75" customHeight="1" x14ac:dyDescent="0.3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5.75" customHeight="1" x14ac:dyDescent="0.3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5.75" customHeight="1" x14ac:dyDescent="0.3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5.75" customHeight="1" x14ac:dyDescent="0.3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5.75" customHeight="1" x14ac:dyDescent="0.3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5.75" customHeight="1" x14ac:dyDescent="0.3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5.75" customHeight="1" x14ac:dyDescent="0.3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5.75" customHeight="1" x14ac:dyDescent="0.3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5.75" customHeight="1" x14ac:dyDescent="0.3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5.75" customHeight="1" x14ac:dyDescent="0.3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5.75" customHeight="1" x14ac:dyDescent="0.3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5.75" customHeight="1" x14ac:dyDescent="0.3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5.75" customHeight="1" x14ac:dyDescent="0.3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5.75" customHeight="1" x14ac:dyDescent="0.3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5.75" customHeight="1" x14ac:dyDescent="0.3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5.75" customHeight="1" x14ac:dyDescent="0.3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5.75" customHeight="1" x14ac:dyDescent="0.3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5.75" customHeight="1" x14ac:dyDescent="0.3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5.75" customHeight="1" x14ac:dyDescent="0.3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5.75" customHeight="1" x14ac:dyDescent="0.3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5.75" customHeight="1" x14ac:dyDescent="0.3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5.75" customHeight="1" x14ac:dyDescent="0.3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5.75" customHeight="1" x14ac:dyDescent="0.3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5.75" customHeight="1" x14ac:dyDescent="0.3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5.75" customHeight="1" x14ac:dyDescent="0.3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5.75" customHeight="1" x14ac:dyDescent="0.3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5.75" customHeight="1" x14ac:dyDescent="0.3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5.75" customHeight="1" x14ac:dyDescent="0.3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5.75" customHeight="1" x14ac:dyDescent="0.3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5.75" customHeight="1" x14ac:dyDescent="0.3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5.75" customHeight="1" x14ac:dyDescent="0.3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5.75" customHeight="1" x14ac:dyDescent="0.3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5.75" customHeight="1" x14ac:dyDescent="0.3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5.75" customHeight="1" x14ac:dyDescent="0.3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5.75" customHeight="1" x14ac:dyDescent="0.3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5.75" customHeight="1" x14ac:dyDescent="0.3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5.75" customHeight="1" x14ac:dyDescent="0.3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5.75" customHeight="1" x14ac:dyDescent="0.3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topLeftCell="A2" workbookViewId="0">
      <selection activeCell="C35" sqref="C34:C35"/>
    </sheetView>
  </sheetViews>
  <sheetFormatPr defaultColWidth="14.453125" defaultRowHeight="15" customHeight="1" x14ac:dyDescent="0.35"/>
  <cols>
    <col min="1" max="2" width="8.81640625" customWidth="1"/>
    <col min="3" max="3" width="49.1796875" customWidth="1"/>
    <col min="4" max="4" width="42.1796875" customWidth="1"/>
    <col min="5" max="5" width="31.453125" customWidth="1"/>
    <col min="6" max="6" width="36.7265625" customWidth="1"/>
    <col min="7" max="26" width="8.81640625" customWidth="1"/>
  </cols>
  <sheetData>
    <row r="1" spans="1:26" ht="14.25" customHeight="1" x14ac:dyDescent="0.45">
      <c r="A1" s="88"/>
      <c r="B1" s="56"/>
      <c r="C1" s="57"/>
      <c r="D1" s="101" t="s">
        <v>38</v>
      </c>
      <c r="E1" s="102"/>
      <c r="F1" s="57"/>
    </row>
    <row r="2" spans="1:26" ht="14.25" customHeight="1" x14ac:dyDescent="0.25">
      <c r="A2" s="88"/>
      <c r="B2" s="56"/>
      <c r="C2" s="57"/>
      <c r="D2" s="103"/>
      <c r="E2" s="103"/>
      <c r="F2" s="57"/>
    </row>
    <row r="3" spans="1:26" ht="14.25" customHeight="1" x14ac:dyDescent="0.25">
      <c r="A3" s="88"/>
      <c r="B3" s="133" t="s">
        <v>1</v>
      </c>
      <c r="C3" s="117"/>
      <c r="D3" s="120" t="s">
        <v>2</v>
      </c>
      <c r="E3" s="117"/>
      <c r="F3" s="118"/>
    </row>
    <row r="4" spans="1:26" ht="14.25" customHeight="1" x14ac:dyDescent="0.25">
      <c r="A4" s="88"/>
      <c r="B4" s="133" t="s">
        <v>5</v>
      </c>
      <c r="C4" s="117"/>
      <c r="D4" s="120" t="s">
        <v>6</v>
      </c>
      <c r="E4" s="117"/>
      <c r="F4" s="118"/>
    </row>
    <row r="5" spans="1:26" ht="42" customHeight="1" x14ac:dyDescent="0.25">
      <c r="A5" s="88"/>
      <c r="B5" s="134" t="s">
        <v>39</v>
      </c>
      <c r="C5" s="118"/>
      <c r="D5" s="135" t="s">
        <v>40</v>
      </c>
      <c r="E5" s="117"/>
      <c r="F5" s="118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4.25" customHeight="1" x14ac:dyDescent="0.25">
      <c r="A6" s="88"/>
      <c r="B6" s="104"/>
      <c r="C6" s="88"/>
      <c r="D6" s="88"/>
      <c r="E6" s="88"/>
      <c r="F6" s="88"/>
    </row>
    <row r="7" spans="1:26" ht="14.25" customHeight="1" x14ac:dyDescent="0.35">
      <c r="A7" s="105"/>
      <c r="B7" s="106"/>
      <c r="C7" s="107"/>
      <c r="D7" s="107"/>
      <c r="E7" s="107"/>
      <c r="F7" s="107"/>
    </row>
    <row r="8" spans="1:26" ht="14.25" customHeight="1" x14ac:dyDescent="0.25">
      <c r="A8" s="108"/>
      <c r="B8" s="45" t="s">
        <v>25</v>
      </c>
      <c r="C8" s="46" t="s">
        <v>41</v>
      </c>
      <c r="D8" s="47" t="s">
        <v>42</v>
      </c>
      <c r="E8" s="48" t="s">
        <v>43</v>
      </c>
      <c r="F8" s="49" t="s">
        <v>44</v>
      </c>
    </row>
    <row r="9" spans="1:26" ht="14.25" customHeight="1" x14ac:dyDescent="0.25">
      <c r="A9" s="88"/>
      <c r="B9" s="50">
        <v>1</v>
      </c>
      <c r="C9" s="109" t="s">
        <v>32</v>
      </c>
      <c r="D9" s="51" t="s">
        <v>32</v>
      </c>
      <c r="E9" s="110" t="s">
        <v>45</v>
      </c>
      <c r="F9" s="52" t="s">
        <v>46</v>
      </c>
    </row>
    <row r="10" spans="1:26" ht="14.25" customHeight="1" x14ac:dyDescent="0.25">
      <c r="A10" s="88"/>
      <c r="B10" s="53"/>
      <c r="C10" s="34"/>
      <c r="D10" s="54"/>
      <c r="E10" s="55"/>
      <c r="F10" s="55"/>
    </row>
    <row r="11" spans="1:26" ht="14.25" customHeight="1" x14ac:dyDescent="0.25">
      <c r="A11" s="88"/>
      <c r="B11" s="53"/>
      <c r="C11" s="34"/>
      <c r="D11" s="54"/>
      <c r="E11" s="55"/>
      <c r="F11" s="55"/>
    </row>
    <row r="12" spans="1:26" ht="14.25" customHeight="1" x14ac:dyDescent="0.25">
      <c r="A12" s="88"/>
      <c r="B12" s="53"/>
      <c r="C12" s="34"/>
      <c r="D12" s="54"/>
      <c r="E12" s="55"/>
      <c r="F12" s="55"/>
    </row>
    <row r="13" spans="1:26" ht="14.25" customHeight="1" x14ac:dyDescent="0.25">
      <c r="A13" s="88"/>
      <c r="B13" s="53"/>
      <c r="C13" s="34"/>
      <c r="D13" s="54"/>
      <c r="E13" s="55"/>
      <c r="F13" s="55"/>
    </row>
    <row r="14" spans="1:26" ht="14.25" customHeight="1" x14ac:dyDescent="0.25">
      <c r="A14" s="88"/>
      <c r="B14" s="56"/>
      <c r="C14" s="57"/>
      <c r="D14" s="57"/>
      <c r="E14" s="57"/>
      <c r="F14" s="57"/>
    </row>
    <row r="15" spans="1:26" ht="14.25" customHeight="1" x14ac:dyDescent="0.25">
      <c r="A15" s="88"/>
      <c r="B15" s="56"/>
      <c r="C15" s="57"/>
      <c r="D15" s="57"/>
      <c r="E15" s="57"/>
      <c r="F15" s="57"/>
    </row>
    <row r="16" spans="1:26" ht="14.25" customHeight="1" x14ac:dyDescent="0.25">
      <c r="B16" s="56"/>
      <c r="C16" s="57"/>
      <c r="D16" s="57"/>
      <c r="E16" s="57"/>
      <c r="F16" s="57"/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Member_Login!A1" display="Member_Login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tabSelected="1" topLeftCell="A9" workbookViewId="0">
      <selection activeCell="O9" sqref="O9"/>
    </sheetView>
  </sheetViews>
  <sheetFormatPr defaultColWidth="14.453125" defaultRowHeight="15" customHeight="1" x14ac:dyDescent="0.35"/>
  <cols>
    <col min="1" max="1" width="14.7265625" customWidth="1"/>
    <col min="2" max="2" width="21.54296875" customWidth="1"/>
    <col min="3" max="3" width="27.81640625" customWidth="1"/>
    <col min="4" max="4" width="39.7265625" customWidth="1"/>
    <col min="5" max="5" width="32.453125" customWidth="1"/>
    <col min="6" max="6" width="24.453125" customWidth="1"/>
    <col min="7" max="7" width="11.453125" customWidth="1"/>
    <col min="8" max="8" width="11.1796875" customWidth="1"/>
    <col min="9" max="9" width="9.54296875" customWidth="1"/>
    <col min="10" max="10" width="9.1796875" customWidth="1"/>
    <col min="11" max="12" width="8.453125" customWidth="1"/>
    <col min="13" max="13" width="20.81640625" customWidth="1"/>
    <col min="14" max="27" width="12.54296875" customWidth="1"/>
  </cols>
  <sheetData>
    <row r="1" spans="1:27" ht="14.5" x14ac:dyDescent="0.25">
      <c r="A1" s="58"/>
      <c r="B1" s="88"/>
      <c r="C1" s="88"/>
      <c r="D1" s="88"/>
      <c r="E1" s="88"/>
      <c r="F1" s="88"/>
      <c r="G1" s="88"/>
      <c r="H1" s="111"/>
      <c r="I1" s="111"/>
      <c r="J1" s="111"/>
      <c r="K1" s="111"/>
      <c r="L1" s="112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spans="1:27" ht="14.5" x14ac:dyDescent="0.25">
      <c r="A2" s="59"/>
      <c r="B2" s="60" t="s">
        <v>47</v>
      </c>
      <c r="C2" s="136" t="s">
        <v>32</v>
      </c>
      <c r="D2" s="137"/>
      <c r="E2" s="137"/>
      <c r="F2" s="138"/>
      <c r="G2" s="61"/>
      <c r="H2" s="111"/>
      <c r="I2" s="111"/>
      <c r="J2" s="111"/>
      <c r="K2" s="111"/>
      <c r="L2" s="112"/>
      <c r="M2" s="113" t="s">
        <v>27</v>
      </c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</row>
    <row r="3" spans="1:27" ht="14.5" x14ac:dyDescent="0.25">
      <c r="A3" s="59"/>
      <c r="B3" s="62" t="s">
        <v>48</v>
      </c>
      <c r="C3" s="139"/>
      <c r="D3" s="117"/>
      <c r="E3" s="117"/>
      <c r="F3" s="118"/>
      <c r="G3" s="63"/>
      <c r="H3" s="111"/>
      <c r="I3" s="111"/>
      <c r="J3" s="111"/>
      <c r="K3" s="111"/>
      <c r="L3" s="112"/>
      <c r="M3" s="113" t="s">
        <v>28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</row>
    <row r="4" spans="1:27" ht="14.5" x14ac:dyDescent="0.25">
      <c r="A4" s="59"/>
      <c r="B4" s="62" t="s">
        <v>49</v>
      </c>
      <c r="C4" s="139"/>
      <c r="D4" s="117"/>
      <c r="E4" s="117"/>
      <c r="F4" s="118"/>
      <c r="G4" s="63"/>
      <c r="H4" s="111"/>
      <c r="I4" s="111"/>
      <c r="J4" s="111"/>
      <c r="K4" s="111"/>
      <c r="L4" s="112"/>
      <c r="M4" s="113" t="s">
        <v>50</v>
      </c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</row>
    <row r="5" spans="1:27" ht="25" x14ac:dyDescent="0.25">
      <c r="A5" s="64"/>
      <c r="B5" s="65" t="s">
        <v>31</v>
      </c>
      <c r="C5" s="66" t="s">
        <v>27</v>
      </c>
      <c r="D5" s="66" t="s">
        <v>28</v>
      </c>
      <c r="E5" s="66" t="s">
        <v>29</v>
      </c>
      <c r="F5" s="66" t="s">
        <v>21</v>
      </c>
      <c r="G5" s="67" t="s">
        <v>51</v>
      </c>
      <c r="H5" s="111"/>
      <c r="I5" s="111"/>
      <c r="J5" s="111"/>
      <c r="K5" s="111"/>
      <c r="L5" s="112"/>
      <c r="M5" s="113" t="s">
        <v>21</v>
      </c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</row>
    <row r="6" spans="1:27" ht="14.5" x14ac:dyDescent="0.35">
      <c r="A6" s="68"/>
      <c r="B6" s="82">
        <f>AVERAGE(L:L)</f>
        <v>0.8571428571428571</v>
      </c>
      <c r="C6" s="83">
        <f>COUNTIF(G10:G995, "Pass")</f>
        <v>6</v>
      </c>
      <c r="D6" s="83">
        <f>COUNTIF(G10:G995,"Fail")</f>
        <v>0</v>
      </c>
      <c r="E6" s="83">
        <f>G6-F6-D6-C6</f>
        <v>0</v>
      </c>
      <c r="F6" s="83">
        <f>COUNTIF(G10:G995,"N/A")</f>
        <v>1</v>
      </c>
      <c r="G6" s="84">
        <f>COUNTA(B10:B995)</f>
        <v>7</v>
      </c>
      <c r="H6" s="111"/>
      <c r="I6" s="111"/>
      <c r="J6" s="111"/>
      <c r="K6" s="111"/>
      <c r="L6" s="112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</row>
    <row r="7" spans="1:27" ht="14.5" x14ac:dyDescent="0.25">
      <c r="A7" s="69"/>
      <c r="B7" s="114"/>
      <c r="C7" s="114"/>
      <c r="D7" s="114"/>
      <c r="E7" s="114"/>
      <c r="F7" s="114"/>
      <c r="G7" s="99"/>
      <c r="H7" s="111"/>
      <c r="I7" s="111"/>
      <c r="J7" s="111"/>
      <c r="K7" s="111"/>
      <c r="L7" s="112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</row>
    <row r="8" spans="1:27" ht="6.75" customHeight="1" x14ac:dyDescent="0.35">
      <c r="A8" s="43"/>
      <c r="B8" s="43"/>
      <c r="C8" s="43"/>
      <c r="D8" s="43"/>
      <c r="E8" s="43"/>
      <c r="F8" s="43"/>
      <c r="G8" s="43"/>
      <c r="H8" s="111"/>
      <c r="I8" s="111"/>
      <c r="J8" s="111"/>
      <c r="K8" s="111"/>
      <c r="L8" s="112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</row>
    <row r="9" spans="1:27" ht="37.5" x14ac:dyDescent="0.35">
      <c r="A9" s="70"/>
      <c r="B9" s="71" t="s">
        <v>52</v>
      </c>
      <c r="C9" s="71" t="s">
        <v>53</v>
      </c>
      <c r="D9" s="71" t="s">
        <v>54</v>
      </c>
      <c r="E9" s="71" t="s">
        <v>55</v>
      </c>
      <c r="F9" s="71" t="s">
        <v>56</v>
      </c>
      <c r="G9" s="71" t="s">
        <v>57</v>
      </c>
      <c r="H9" s="71" t="s">
        <v>58</v>
      </c>
      <c r="I9" s="71" t="s">
        <v>59</v>
      </c>
      <c r="J9" s="72" t="s">
        <v>60</v>
      </c>
      <c r="K9" s="73" t="s">
        <v>61</v>
      </c>
      <c r="L9" s="74" t="s">
        <v>62</v>
      </c>
      <c r="M9" s="140" t="s">
        <v>63</v>
      </c>
      <c r="N9" s="141" t="s">
        <v>64</v>
      </c>
      <c r="O9" s="141" t="s">
        <v>65</v>
      </c>
      <c r="P9" s="141" t="s">
        <v>66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ht="58" x14ac:dyDescent="0.35">
      <c r="A10" s="75"/>
      <c r="B10" s="76" t="str">
        <f>IF(OR(C10&lt;&gt;"",E10&lt;&gt;""),"["&amp;TEXT($C$2,"##")&amp;"-"&amp;TEXT(ROW(C10)-9,"##")&amp;"]","")</f>
        <v>[Member_Login-1]</v>
      </c>
      <c r="C10" s="85" t="s">
        <v>67</v>
      </c>
      <c r="D10" s="78" t="s">
        <v>68</v>
      </c>
      <c r="E10" s="78" t="s">
        <v>69</v>
      </c>
      <c r="F10" s="77"/>
      <c r="G10" s="77" t="s">
        <v>27</v>
      </c>
      <c r="H10" s="79">
        <v>45821</v>
      </c>
      <c r="I10" s="77" t="s">
        <v>4</v>
      </c>
      <c r="J10" s="77">
        <v>3</v>
      </c>
      <c r="K10" s="77">
        <v>3</v>
      </c>
      <c r="L10" s="80">
        <f t="shared" ref="L10:L16" si="0">K10/J10</f>
        <v>1</v>
      </c>
      <c r="M10" s="115"/>
      <c r="N10" s="142"/>
      <c r="O10" s="142"/>
      <c r="P10" s="142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ht="50" x14ac:dyDescent="0.35">
      <c r="A11" s="75"/>
      <c r="B11" s="76" t="str">
        <f t="shared" ref="B11:B16" si="1">IF(OR(C11&lt;&gt;"",E11&lt;&gt;""),"["&amp;TEXT($C$2,"##")&amp;"-"&amp;TEXT(ROW()-9,"##")&amp;"]","")</f>
        <v>[Member_Login-2]</v>
      </c>
      <c r="C11" s="81" t="s">
        <v>70</v>
      </c>
      <c r="D11" s="76" t="s">
        <v>71</v>
      </c>
      <c r="E11" s="78" t="s">
        <v>72</v>
      </c>
      <c r="F11" s="77"/>
      <c r="G11" s="77" t="s">
        <v>27</v>
      </c>
      <c r="H11" s="79">
        <v>45821</v>
      </c>
      <c r="I11" s="77" t="s">
        <v>4</v>
      </c>
      <c r="J11" s="77">
        <v>3</v>
      </c>
      <c r="K11" s="77">
        <v>3</v>
      </c>
      <c r="L11" s="80">
        <f t="shared" si="0"/>
        <v>1</v>
      </c>
      <c r="M11" s="115"/>
      <c r="N11" s="142"/>
      <c r="O11" s="142"/>
      <c r="P11" s="142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ht="50" x14ac:dyDescent="0.35">
      <c r="A12" s="75"/>
      <c r="B12" s="76" t="str">
        <f t="shared" si="1"/>
        <v>[Member_Login-3]</v>
      </c>
      <c r="C12" s="81" t="s">
        <v>73</v>
      </c>
      <c r="D12" s="76" t="s">
        <v>74</v>
      </c>
      <c r="E12" s="78" t="s">
        <v>75</v>
      </c>
      <c r="F12" s="77"/>
      <c r="G12" s="77" t="s">
        <v>27</v>
      </c>
      <c r="H12" s="79">
        <v>45821</v>
      </c>
      <c r="I12" s="77" t="s">
        <v>4</v>
      </c>
      <c r="J12" s="77">
        <v>3</v>
      </c>
      <c r="K12" s="77">
        <v>3</v>
      </c>
      <c r="L12" s="80">
        <f t="shared" si="0"/>
        <v>1</v>
      </c>
      <c r="M12" s="115"/>
      <c r="N12" s="142"/>
      <c r="O12" s="142"/>
      <c r="P12" s="142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ht="50" x14ac:dyDescent="0.35">
      <c r="A13" s="75"/>
      <c r="B13" s="76" t="str">
        <f t="shared" si="1"/>
        <v>[Member_Login-4]</v>
      </c>
      <c r="C13" s="81" t="s">
        <v>76</v>
      </c>
      <c r="D13" s="76" t="s">
        <v>77</v>
      </c>
      <c r="E13" s="77" t="s">
        <v>78</v>
      </c>
      <c r="F13" s="77"/>
      <c r="G13" s="77" t="s">
        <v>27</v>
      </c>
      <c r="H13" s="79">
        <v>45821</v>
      </c>
      <c r="I13" s="77" t="s">
        <v>4</v>
      </c>
      <c r="J13" s="77">
        <v>3</v>
      </c>
      <c r="K13" s="77">
        <v>3</v>
      </c>
      <c r="L13" s="80">
        <f t="shared" si="0"/>
        <v>1</v>
      </c>
      <c r="M13" s="115"/>
      <c r="N13" s="142"/>
      <c r="O13" s="142"/>
      <c r="P13" s="142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ht="62.5" x14ac:dyDescent="0.35">
      <c r="A14" s="75"/>
      <c r="B14" s="76" t="str">
        <f t="shared" si="1"/>
        <v>[Member_Login-5]</v>
      </c>
      <c r="C14" s="81" t="s">
        <v>79</v>
      </c>
      <c r="D14" s="76" t="s">
        <v>80</v>
      </c>
      <c r="E14" s="78" t="s">
        <v>78</v>
      </c>
      <c r="F14" s="77"/>
      <c r="G14" s="77" t="s">
        <v>27</v>
      </c>
      <c r="H14" s="79">
        <v>45821</v>
      </c>
      <c r="I14" s="77" t="s">
        <v>4</v>
      </c>
      <c r="J14" s="77">
        <v>4</v>
      </c>
      <c r="K14" s="77">
        <v>4</v>
      </c>
      <c r="L14" s="80">
        <f t="shared" si="0"/>
        <v>1</v>
      </c>
      <c r="M14" s="115"/>
      <c r="N14" s="142"/>
      <c r="O14" s="142"/>
      <c r="P14" s="142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62.5" x14ac:dyDescent="0.35">
      <c r="A15" s="75"/>
      <c r="B15" s="76" t="str">
        <f t="shared" si="1"/>
        <v>[Member_Login-6]</v>
      </c>
      <c r="C15" s="77" t="s">
        <v>81</v>
      </c>
      <c r="D15" s="76" t="s">
        <v>82</v>
      </c>
      <c r="E15" s="78" t="s">
        <v>83</v>
      </c>
      <c r="F15" s="77"/>
      <c r="G15" s="77" t="s">
        <v>27</v>
      </c>
      <c r="H15" s="79">
        <v>45821</v>
      </c>
      <c r="I15" s="77" t="s">
        <v>4</v>
      </c>
      <c r="J15" s="77">
        <v>3</v>
      </c>
      <c r="K15" s="77">
        <v>3</v>
      </c>
      <c r="L15" s="80">
        <f t="shared" si="0"/>
        <v>1</v>
      </c>
      <c r="M15" s="115"/>
      <c r="N15" s="142"/>
      <c r="O15" s="142"/>
      <c r="P15" s="142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29" x14ac:dyDescent="0.35">
      <c r="A16" s="75"/>
      <c r="B16" s="76" t="str">
        <f t="shared" si="1"/>
        <v>[Member_Login-7]</v>
      </c>
      <c r="C16" s="77" t="s">
        <v>84</v>
      </c>
      <c r="D16" s="78" t="s">
        <v>85</v>
      </c>
      <c r="E16" s="77" t="s">
        <v>86</v>
      </c>
      <c r="F16" s="77"/>
      <c r="G16" s="77" t="s">
        <v>21</v>
      </c>
      <c r="H16" s="79">
        <v>45821</v>
      </c>
      <c r="I16" s="77" t="s">
        <v>4</v>
      </c>
      <c r="J16" s="77">
        <v>3</v>
      </c>
      <c r="K16" s="77">
        <v>0</v>
      </c>
      <c r="L16" s="80">
        <f t="shared" si="0"/>
        <v>0</v>
      </c>
      <c r="M16" s="115"/>
      <c r="N16" s="142"/>
      <c r="O16" s="142"/>
      <c r="P16" s="142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ht="14.5" x14ac:dyDescent="0.3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68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ht="14.5" x14ac:dyDescent="0.3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68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ht="14.5" x14ac:dyDescent="0.3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68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ht="14.5" x14ac:dyDescent="0.3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68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15.75" customHeight="1" x14ac:dyDescent="0.3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68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ht="15.75" customHeight="1" x14ac:dyDescent="0.3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68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15.75" customHeight="1" x14ac:dyDescent="0.3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68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.75" customHeight="1" x14ac:dyDescent="0.3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68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ht="15.75" customHeight="1" x14ac:dyDescent="0.3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68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.75" customHeight="1" x14ac:dyDescent="0.3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68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15.75" customHeight="1" x14ac:dyDescent="0.3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68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15.75" customHeight="1" x14ac:dyDescent="0.3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68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15.75" customHeight="1" x14ac:dyDescent="0.3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68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15.75" customHeight="1" x14ac:dyDescent="0.3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68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15.75" customHeight="1" x14ac:dyDescent="0.3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68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15.75" customHeight="1" x14ac:dyDescent="0.3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68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ht="15.75" customHeight="1" x14ac:dyDescent="0.3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68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 ht="15.75" customHeight="1" x14ac:dyDescent="0.3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68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ht="15.75" customHeight="1" x14ac:dyDescent="0.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68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ht="15.75" customHeight="1" x14ac:dyDescent="0.3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68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ht="15.75" customHeight="1" x14ac:dyDescent="0.3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68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 ht="15.75" customHeight="1" x14ac:dyDescent="0.3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68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 ht="15.75" customHeight="1" x14ac:dyDescent="0.3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68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 ht="15.75" customHeight="1" x14ac:dyDescent="0.3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68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 ht="15.75" customHeight="1" x14ac:dyDescent="0.3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68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ht="15.75" customHeight="1" x14ac:dyDescent="0.3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68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 ht="15.75" customHeight="1" x14ac:dyDescent="0.3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68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 ht="15.75" customHeight="1" x14ac:dyDescent="0.3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68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 ht="15.75" customHeight="1" x14ac:dyDescent="0.3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68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5.75" customHeight="1" x14ac:dyDescent="0.3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68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 ht="15.75" customHeight="1" x14ac:dyDescent="0.3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68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 ht="15.75" customHeight="1" x14ac:dyDescent="0.3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68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 ht="15.75" customHeight="1" x14ac:dyDescent="0.3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68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 ht="15.75" customHeight="1" x14ac:dyDescent="0.3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68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 ht="15.75" customHeight="1" x14ac:dyDescent="0.3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68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ht="15.75" customHeight="1" x14ac:dyDescent="0.3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68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 ht="15.75" customHeight="1" x14ac:dyDescent="0.3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68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ht="15.75" customHeight="1" x14ac:dyDescent="0.3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68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 ht="15.75" customHeight="1" x14ac:dyDescent="0.3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68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 ht="15.75" customHeight="1" x14ac:dyDescent="0.3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68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 ht="15.75" customHeight="1" x14ac:dyDescent="0.3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68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 ht="15.75" customHeight="1" x14ac:dyDescent="0.3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68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 ht="15.75" customHeight="1" x14ac:dyDescent="0.3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68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 ht="15.75" customHeight="1" x14ac:dyDescent="0.3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68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 ht="15.75" customHeight="1" x14ac:dyDescent="0.3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68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 ht="15.75" customHeight="1" x14ac:dyDescent="0.3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68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 ht="15.75" customHeight="1" x14ac:dyDescent="0.3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68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5.75" customHeight="1" x14ac:dyDescent="0.3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68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 ht="15.75" customHeight="1" x14ac:dyDescent="0.3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68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 ht="15.75" customHeight="1" x14ac:dyDescent="0.3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68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 ht="15.75" customHeight="1" x14ac:dyDescent="0.3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68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5.75" customHeight="1" x14ac:dyDescent="0.3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68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 ht="15.75" customHeight="1" x14ac:dyDescent="0.3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68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5.75" customHeight="1" x14ac:dyDescent="0.3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68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 ht="15.75" customHeight="1" x14ac:dyDescent="0.3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68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5.75" customHeight="1" x14ac:dyDescent="0.3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68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75" customHeight="1" x14ac:dyDescent="0.3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68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.75" customHeight="1" x14ac:dyDescent="0.3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68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 ht="15.75" customHeight="1" x14ac:dyDescent="0.3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68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 ht="15.75" customHeight="1" x14ac:dyDescent="0.3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68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 ht="15.75" customHeight="1" x14ac:dyDescent="0.3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68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 ht="15.75" customHeight="1" x14ac:dyDescent="0.3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68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 ht="15.75" customHeight="1" x14ac:dyDescent="0.3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68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 ht="15.75" customHeight="1" x14ac:dyDescent="0.3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68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 ht="15.75" customHeight="1" x14ac:dyDescent="0.3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68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 ht="15.75" customHeight="1" x14ac:dyDescent="0.3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68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 ht="15.75" customHeight="1" x14ac:dyDescent="0.3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68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 ht="15.75" customHeight="1" x14ac:dyDescent="0.3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68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 ht="15.75" customHeight="1" x14ac:dyDescent="0.3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68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 ht="15.75" customHeight="1" x14ac:dyDescent="0.3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68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 ht="15.75" customHeight="1" x14ac:dyDescent="0.3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68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 ht="15.75" customHeight="1" x14ac:dyDescent="0.3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68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 ht="15.75" customHeight="1" x14ac:dyDescent="0.3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68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 ht="15.75" customHeight="1" x14ac:dyDescent="0.3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68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 ht="15.75" customHeight="1" x14ac:dyDescent="0.3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68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 ht="15.75" customHeight="1" x14ac:dyDescent="0.3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68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 ht="15.75" customHeight="1" x14ac:dyDescent="0.3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68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 ht="15.75" customHeight="1" x14ac:dyDescent="0.3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68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 ht="15.75" customHeight="1" x14ac:dyDescent="0.3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68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 ht="15.75" customHeight="1" x14ac:dyDescent="0.3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68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 ht="15.75" customHeight="1" x14ac:dyDescent="0.3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68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 ht="15.75" customHeight="1" x14ac:dyDescent="0.3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68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 ht="15.75" customHeight="1" x14ac:dyDescent="0.3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68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 ht="15.75" customHeight="1" x14ac:dyDescent="0.3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68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 ht="15.75" customHeight="1" x14ac:dyDescent="0.3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68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 ht="15.75" customHeight="1" x14ac:dyDescent="0.3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68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 ht="15.75" customHeight="1" x14ac:dyDescent="0.3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68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 ht="15.75" customHeight="1" x14ac:dyDescent="0.3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68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 ht="15.75" customHeight="1" x14ac:dyDescent="0.3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68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 ht="15.75" customHeight="1" x14ac:dyDescent="0.3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68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 ht="15.75" customHeight="1" x14ac:dyDescent="0.3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68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 ht="15.75" customHeight="1" x14ac:dyDescent="0.3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68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 ht="15.75" customHeight="1" x14ac:dyDescent="0.3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68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 ht="15.75" customHeight="1" x14ac:dyDescent="0.3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68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 ht="15.75" customHeight="1" x14ac:dyDescent="0.3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68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 ht="15.75" customHeight="1" x14ac:dyDescent="0.3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68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 ht="15.75" customHeight="1" x14ac:dyDescent="0.3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68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 ht="15.75" customHeight="1" x14ac:dyDescent="0.3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68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 ht="15.75" customHeight="1" x14ac:dyDescent="0.3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68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 ht="15.75" customHeight="1" x14ac:dyDescent="0.3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68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 ht="15.75" customHeight="1" x14ac:dyDescent="0.3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68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 ht="15.75" customHeight="1" x14ac:dyDescent="0.3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68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 ht="15.75" customHeight="1" x14ac:dyDescent="0.3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68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 ht="15.75" customHeight="1" x14ac:dyDescent="0.3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68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 ht="15.75" customHeight="1" x14ac:dyDescent="0.3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68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 ht="15.75" customHeight="1" x14ac:dyDescent="0.3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68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 ht="15.75" customHeight="1" x14ac:dyDescent="0.3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68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 ht="15.75" customHeight="1" x14ac:dyDescent="0.3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68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 ht="15.75" customHeight="1" x14ac:dyDescent="0.3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68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 ht="15.75" customHeight="1" x14ac:dyDescent="0.3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68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 ht="15.75" customHeight="1" x14ac:dyDescent="0.3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68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 ht="15.75" customHeight="1" x14ac:dyDescent="0.3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68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 ht="15.75" customHeight="1" x14ac:dyDescent="0.3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68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 ht="15.75" customHeight="1" x14ac:dyDescent="0.3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68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 ht="15.75" customHeight="1" x14ac:dyDescent="0.3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68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 ht="15.75" customHeight="1" x14ac:dyDescent="0.3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68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 ht="15.75" customHeight="1" x14ac:dyDescent="0.3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68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 ht="15.75" customHeight="1" x14ac:dyDescent="0.3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68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 ht="15.75" customHeight="1" x14ac:dyDescent="0.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68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 ht="15.75" customHeight="1" x14ac:dyDescent="0.3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68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 ht="15.75" customHeight="1" x14ac:dyDescent="0.3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68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 ht="15.75" customHeight="1" x14ac:dyDescent="0.3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68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 ht="15.75" customHeight="1" x14ac:dyDescent="0.3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68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 ht="15.75" customHeight="1" x14ac:dyDescent="0.3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68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 ht="15.75" customHeight="1" x14ac:dyDescent="0.3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68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 ht="15.75" customHeight="1" x14ac:dyDescent="0.3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68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 ht="15.75" customHeight="1" x14ac:dyDescent="0.3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68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 ht="15.75" customHeight="1" x14ac:dyDescent="0.3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68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 ht="15.75" customHeight="1" x14ac:dyDescent="0.3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68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 ht="15.75" customHeight="1" x14ac:dyDescent="0.3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68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 ht="15.75" customHeight="1" x14ac:dyDescent="0.3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68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 ht="15.75" customHeight="1" x14ac:dyDescent="0.3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68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 ht="15.75" customHeight="1" x14ac:dyDescent="0.3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68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 ht="15.75" customHeight="1" x14ac:dyDescent="0.3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68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 ht="15.75" customHeight="1" x14ac:dyDescent="0.3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68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 ht="15.75" customHeight="1" x14ac:dyDescent="0.3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68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 ht="15.75" customHeight="1" x14ac:dyDescent="0.3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68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 ht="15.75" customHeight="1" x14ac:dyDescent="0.3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68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 ht="15.75" customHeight="1" x14ac:dyDescent="0.3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68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 ht="15.75" customHeight="1" x14ac:dyDescent="0.3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68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 ht="15.75" customHeight="1" x14ac:dyDescent="0.3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68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 ht="15.75" customHeight="1" x14ac:dyDescent="0.3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68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 ht="15.75" customHeight="1" x14ac:dyDescent="0.3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68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 ht="15.75" customHeight="1" x14ac:dyDescent="0.3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68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 ht="15.75" customHeight="1" x14ac:dyDescent="0.3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68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 ht="15.75" customHeight="1" x14ac:dyDescent="0.3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68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 ht="15.75" customHeight="1" x14ac:dyDescent="0.3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68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 ht="15.75" customHeight="1" x14ac:dyDescent="0.3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68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 ht="15.75" customHeight="1" x14ac:dyDescent="0.3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68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 ht="15.75" customHeight="1" x14ac:dyDescent="0.3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68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ht="15.75" customHeight="1" x14ac:dyDescent="0.3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68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 ht="15.75" customHeight="1" x14ac:dyDescent="0.3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68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 ht="15.75" customHeight="1" x14ac:dyDescent="0.3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68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 ht="15.75" customHeight="1" x14ac:dyDescent="0.3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68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 ht="15.75" customHeight="1" x14ac:dyDescent="0.3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68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 ht="15.75" customHeight="1" x14ac:dyDescent="0.3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68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 ht="15.75" customHeight="1" x14ac:dyDescent="0.3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68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 ht="15.75" customHeight="1" x14ac:dyDescent="0.3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68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 ht="15.75" customHeight="1" x14ac:dyDescent="0.3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68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 ht="15.75" customHeight="1" x14ac:dyDescent="0.3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68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 ht="15.75" customHeight="1" x14ac:dyDescent="0.3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68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 ht="15.75" customHeight="1" x14ac:dyDescent="0.3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68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 ht="15.75" customHeight="1" x14ac:dyDescent="0.3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68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 ht="15.75" customHeight="1" x14ac:dyDescent="0.3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68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 ht="15.75" customHeight="1" x14ac:dyDescent="0.3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68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 ht="15.75" customHeight="1" x14ac:dyDescent="0.3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68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 ht="15.75" customHeight="1" x14ac:dyDescent="0.3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68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 ht="15.75" customHeight="1" x14ac:dyDescent="0.3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68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 ht="15.75" customHeight="1" x14ac:dyDescent="0.3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68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 ht="15.75" customHeight="1" x14ac:dyDescent="0.3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68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 ht="15.75" customHeight="1" x14ac:dyDescent="0.3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68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 ht="15.75" customHeight="1" x14ac:dyDescent="0.3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68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 ht="15.75" customHeight="1" x14ac:dyDescent="0.3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68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 ht="15.75" customHeight="1" x14ac:dyDescent="0.3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68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 ht="15.75" customHeight="1" x14ac:dyDescent="0.3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68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 ht="15.75" customHeight="1" x14ac:dyDescent="0.3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68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 ht="15.75" customHeight="1" x14ac:dyDescent="0.3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68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 ht="15.75" customHeight="1" x14ac:dyDescent="0.3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68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 ht="15.75" customHeight="1" x14ac:dyDescent="0.3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68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 ht="15.75" customHeight="1" x14ac:dyDescent="0.3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68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 ht="15.75" customHeight="1" x14ac:dyDescent="0.3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68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 ht="15.75" customHeight="1" x14ac:dyDescent="0.3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68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 ht="15.75" customHeight="1" x14ac:dyDescent="0.3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68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 ht="15.75" customHeight="1" x14ac:dyDescent="0.3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68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 ht="15.75" customHeight="1" x14ac:dyDescent="0.3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68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 ht="15.75" customHeight="1" x14ac:dyDescent="0.3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68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 ht="15.75" customHeight="1" x14ac:dyDescent="0.3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68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 ht="15.75" customHeight="1" x14ac:dyDescent="0.3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68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 ht="15.75" customHeight="1" x14ac:dyDescent="0.3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68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 ht="15.75" customHeight="1" x14ac:dyDescent="0.3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68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 ht="15.75" customHeight="1" x14ac:dyDescent="0.3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68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 ht="15.75" customHeight="1" x14ac:dyDescent="0.3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68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 ht="15.75" customHeight="1" x14ac:dyDescent="0.3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68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 ht="15.75" customHeight="1" x14ac:dyDescent="0.3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68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 ht="15.75" customHeight="1" x14ac:dyDescent="0.3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68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 ht="15.75" customHeight="1" x14ac:dyDescent="0.3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68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 ht="15.75" customHeight="1" x14ac:dyDescent="0.3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68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 ht="15.75" customHeight="1" x14ac:dyDescent="0.3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68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 ht="15.75" customHeight="1" x14ac:dyDescent="0.3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68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 ht="15.75" customHeight="1" x14ac:dyDescent="0.3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68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 ht="15.75" customHeight="1" x14ac:dyDescent="0.3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68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 ht="15.75" customHeight="1" x14ac:dyDescent="0.3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68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 ht="15.75" customHeight="1" x14ac:dyDescent="0.3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68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 ht="15.75" customHeight="1" x14ac:dyDescent="0.3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68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 ht="15.75" customHeight="1" x14ac:dyDescent="0.3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 ht="15.75" customHeight="1" x14ac:dyDescent="0.3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 ht="15.75" customHeight="1" x14ac:dyDescent="0.3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 ht="15.75" customHeight="1" x14ac:dyDescent="0.3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 ht="15.75" customHeight="1" x14ac:dyDescent="0.3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 ht="15.75" customHeight="1" x14ac:dyDescent="0.3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 ht="15.75" customHeight="1" x14ac:dyDescent="0.3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 ht="15.75" customHeight="1" x14ac:dyDescent="0.3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 ht="15.75" customHeight="1" x14ac:dyDescent="0.3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 ht="15.75" customHeight="1" x14ac:dyDescent="0.3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 ht="15.75" customHeight="1" x14ac:dyDescent="0.3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 ht="15.75" customHeight="1" x14ac:dyDescent="0.3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 ht="15.75" customHeight="1" x14ac:dyDescent="0.3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 ht="15.75" customHeight="1" x14ac:dyDescent="0.3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 ht="15.75" customHeight="1" x14ac:dyDescent="0.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 ht="15.75" customHeight="1" x14ac:dyDescent="0.3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 ht="15.75" customHeight="1" x14ac:dyDescent="0.3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1:27" ht="15.75" customHeight="1" x14ac:dyDescent="0.3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1:27" ht="15.75" customHeight="1" x14ac:dyDescent="0.3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 ht="15.75" customHeight="1" x14ac:dyDescent="0.3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spans="1:27" ht="15.75" customHeight="1" x14ac:dyDescent="0.3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spans="1:27" ht="15.75" customHeight="1" x14ac:dyDescent="0.3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spans="1:27" ht="15.75" customHeight="1" x14ac:dyDescent="0.3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spans="1:27" ht="15.75" customHeight="1" x14ac:dyDescent="0.3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spans="1:27" ht="15.75" customHeight="1" x14ac:dyDescent="0.3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spans="1:27" ht="15.75" customHeight="1" x14ac:dyDescent="0.3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spans="1:27" ht="15.75" customHeight="1" x14ac:dyDescent="0.3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spans="1:27" ht="15.75" customHeight="1" x14ac:dyDescent="0.3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spans="1:27" ht="15.75" customHeight="1" x14ac:dyDescent="0.3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spans="1:27" ht="15.75" customHeight="1" x14ac:dyDescent="0.3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spans="1:27" ht="15.75" customHeight="1" x14ac:dyDescent="0.3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spans="1:27" ht="15.75" customHeight="1" x14ac:dyDescent="0.3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spans="1:27" ht="15.75" customHeight="1" x14ac:dyDescent="0.3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spans="1:27" ht="15.75" customHeight="1" x14ac:dyDescent="0.3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spans="1:27" ht="15.75" customHeight="1" x14ac:dyDescent="0.3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spans="1:27" ht="15.75" customHeight="1" x14ac:dyDescent="0.3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spans="1:27" ht="15.75" customHeight="1" x14ac:dyDescent="0.3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 ht="15.75" customHeight="1" x14ac:dyDescent="0.3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spans="1:27" ht="15.75" customHeight="1" x14ac:dyDescent="0.3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spans="1:27" ht="15.75" customHeight="1" x14ac:dyDescent="0.3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spans="1:27" ht="15.75" customHeight="1" x14ac:dyDescent="0.3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spans="1:27" ht="15.75" customHeight="1" x14ac:dyDescent="0.3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spans="1:27" ht="15.75" customHeight="1" x14ac:dyDescent="0.3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spans="1:27" ht="15.75" customHeight="1" x14ac:dyDescent="0.3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spans="1:27" ht="15.75" customHeight="1" x14ac:dyDescent="0.3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spans="1:27" ht="15.75" customHeight="1" x14ac:dyDescent="0.3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spans="1:27" ht="15.75" customHeight="1" x14ac:dyDescent="0.3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spans="1:27" ht="15.75" customHeight="1" x14ac:dyDescent="0.3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spans="1:27" ht="15.75" customHeight="1" x14ac:dyDescent="0.3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spans="1:27" ht="15.75" customHeight="1" x14ac:dyDescent="0.3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spans="1:27" ht="15.75" customHeight="1" x14ac:dyDescent="0.3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spans="1:27" ht="15.75" customHeight="1" x14ac:dyDescent="0.3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spans="1:27" ht="15.75" customHeight="1" x14ac:dyDescent="0.3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spans="1:27" ht="15.75" customHeight="1" x14ac:dyDescent="0.3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spans="1:27" ht="15.75" customHeight="1" x14ac:dyDescent="0.3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 ht="15.75" customHeight="1" x14ac:dyDescent="0.3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spans="1:27" ht="15.75" customHeight="1" x14ac:dyDescent="0.3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spans="1:27" ht="15.75" customHeight="1" x14ac:dyDescent="0.3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spans="1:27" ht="15.75" customHeight="1" x14ac:dyDescent="0.3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spans="1:27" ht="15.75" customHeight="1" x14ac:dyDescent="0.3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spans="1:27" ht="15.75" customHeight="1" x14ac:dyDescent="0.3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spans="1:27" ht="15.75" customHeight="1" x14ac:dyDescent="0.3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spans="1:27" ht="15.75" customHeight="1" x14ac:dyDescent="0.3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spans="1:27" ht="15.75" customHeight="1" x14ac:dyDescent="0.3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spans="1:27" ht="15.75" customHeight="1" x14ac:dyDescent="0.3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spans="1:27" ht="15.75" customHeight="1" x14ac:dyDescent="0.3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spans="1:27" ht="15.75" customHeight="1" x14ac:dyDescent="0.3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spans="1:27" ht="15.75" customHeight="1" x14ac:dyDescent="0.3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spans="1:27" ht="15.75" customHeight="1" x14ac:dyDescent="0.3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spans="1:27" ht="15.75" customHeight="1" x14ac:dyDescent="0.3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spans="1:27" ht="15.75" customHeight="1" x14ac:dyDescent="0.3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spans="1:27" ht="15.75" customHeight="1" x14ac:dyDescent="0.3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spans="1:27" ht="15.75" customHeight="1" x14ac:dyDescent="0.3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 ht="15.75" customHeight="1" x14ac:dyDescent="0.3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spans="1:27" ht="15.75" customHeight="1" x14ac:dyDescent="0.3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spans="1:27" ht="15.75" customHeight="1" x14ac:dyDescent="0.3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spans="1:27" ht="15.75" customHeight="1" x14ac:dyDescent="0.3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spans="1:27" ht="15.75" customHeight="1" x14ac:dyDescent="0.3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spans="1:27" ht="15.75" customHeight="1" x14ac:dyDescent="0.3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spans="1:27" ht="15.75" customHeight="1" x14ac:dyDescent="0.3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spans="1:27" ht="15.75" customHeight="1" x14ac:dyDescent="0.3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spans="1:27" ht="15.75" customHeight="1" x14ac:dyDescent="0.3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spans="1:27" ht="15.75" customHeight="1" x14ac:dyDescent="0.3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spans="1:27" ht="15.75" customHeight="1" x14ac:dyDescent="0.3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spans="1:27" ht="15.75" customHeight="1" x14ac:dyDescent="0.3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spans="1:27" ht="15.75" customHeight="1" x14ac:dyDescent="0.3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spans="1:27" ht="15.75" customHeight="1" x14ac:dyDescent="0.3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spans="1:27" ht="15.75" customHeight="1" x14ac:dyDescent="0.3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spans="1:27" ht="15.75" customHeight="1" x14ac:dyDescent="0.3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spans="1:27" ht="15.75" customHeight="1" x14ac:dyDescent="0.3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spans="1:27" ht="15.75" customHeight="1" x14ac:dyDescent="0.3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 ht="15.75" customHeight="1" x14ac:dyDescent="0.3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spans="1:27" ht="15.75" customHeight="1" x14ac:dyDescent="0.3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spans="1:27" ht="15.75" customHeight="1" x14ac:dyDescent="0.3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spans="1:27" ht="15.75" customHeight="1" x14ac:dyDescent="0.3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spans="1:27" ht="15.75" customHeight="1" x14ac:dyDescent="0.3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spans="1:27" ht="15.75" customHeight="1" x14ac:dyDescent="0.3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spans="1:27" ht="15.75" customHeight="1" x14ac:dyDescent="0.3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spans="1:27" ht="15.75" customHeight="1" x14ac:dyDescent="0.3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spans="1:27" ht="15.75" customHeight="1" x14ac:dyDescent="0.3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spans="1:27" ht="15.75" customHeight="1" x14ac:dyDescent="0.3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spans="1:27" ht="15.75" customHeight="1" x14ac:dyDescent="0.3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spans="1:27" ht="15.75" customHeight="1" x14ac:dyDescent="0.3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spans="1:27" ht="15.75" customHeight="1" x14ac:dyDescent="0.3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spans="1:27" ht="15.75" customHeight="1" x14ac:dyDescent="0.3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spans="1:27" ht="15.75" customHeight="1" x14ac:dyDescent="0.3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spans="1:27" ht="15.75" customHeight="1" x14ac:dyDescent="0.3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spans="1:27" ht="15.75" customHeight="1" x14ac:dyDescent="0.3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spans="1:27" ht="15.75" customHeight="1" x14ac:dyDescent="0.3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spans="1:27" ht="15.75" customHeight="1" x14ac:dyDescent="0.3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 ht="15.75" customHeight="1" x14ac:dyDescent="0.3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spans="1:27" ht="15.75" customHeight="1" x14ac:dyDescent="0.3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spans="1:27" ht="15.75" customHeight="1" x14ac:dyDescent="0.3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spans="1:27" ht="15.75" customHeight="1" x14ac:dyDescent="0.3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spans="1:27" ht="15.75" customHeight="1" x14ac:dyDescent="0.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spans="1:27" ht="15.75" customHeight="1" x14ac:dyDescent="0.3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spans="1:27" ht="15.75" customHeight="1" x14ac:dyDescent="0.3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spans="1:27" ht="15.75" customHeight="1" x14ac:dyDescent="0.3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spans="1:27" ht="15.75" customHeight="1" x14ac:dyDescent="0.3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spans="1:27" ht="15.75" customHeight="1" x14ac:dyDescent="0.3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spans="1:27" ht="15.75" customHeight="1" x14ac:dyDescent="0.3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spans="1:27" ht="15.75" customHeight="1" x14ac:dyDescent="0.3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spans="1:27" ht="15.75" customHeight="1" x14ac:dyDescent="0.3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spans="1:27" ht="15.75" customHeight="1" x14ac:dyDescent="0.3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spans="1:27" ht="15.75" customHeight="1" x14ac:dyDescent="0.3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 ht="15.75" customHeight="1" x14ac:dyDescent="0.3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spans="1:27" ht="15.75" customHeight="1" x14ac:dyDescent="0.3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spans="1:27" ht="15.75" customHeight="1" x14ac:dyDescent="0.3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 ht="15.75" customHeight="1" x14ac:dyDescent="0.3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spans="1:27" ht="15.75" customHeight="1" x14ac:dyDescent="0.3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 ht="15.75" customHeight="1" x14ac:dyDescent="0.3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 ht="15.75" customHeight="1" x14ac:dyDescent="0.3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 ht="15.75" customHeight="1" x14ac:dyDescent="0.3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 ht="15.75" customHeight="1" x14ac:dyDescent="0.3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 ht="15.75" customHeight="1" x14ac:dyDescent="0.3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 ht="15.75" customHeight="1" x14ac:dyDescent="0.3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 ht="15.75" customHeight="1" x14ac:dyDescent="0.3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 ht="15.75" customHeight="1" x14ac:dyDescent="0.3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 ht="15.75" customHeight="1" x14ac:dyDescent="0.3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 ht="15.75" customHeight="1" x14ac:dyDescent="0.3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 ht="15.75" customHeight="1" x14ac:dyDescent="0.3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 ht="15.75" customHeight="1" x14ac:dyDescent="0.3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 ht="15.75" customHeight="1" x14ac:dyDescent="0.3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 ht="15.75" customHeight="1" x14ac:dyDescent="0.3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 ht="15.75" customHeight="1" x14ac:dyDescent="0.3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 ht="15.75" customHeight="1" x14ac:dyDescent="0.3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 ht="15.75" customHeight="1" x14ac:dyDescent="0.3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 ht="15.75" customHeight="1" x14ac:dyDescent="0.3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 ht="15.75" customHeight="1" x14ac:dyDescent="0.3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 ht="15.75" customHeight="1" x14ac:dyDescent="0.3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 ht="15.75" customHeight="1" x14ac:dyDescent="0.3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 ht="15.75" customHeight="1" x14ac:dyDescent="0.3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spans="1:27" ht="15.75" customHeight="1" x14ac:dyDescent="0.3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spans="1:27" ht="15.75" customHeight="1" x14ac:dyDescent="0.3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spans="1:27" ht="15.75" customHeight="1" x14ac:dyDescent="0.3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spans="1:27" ht="15.75" customHeight="1" x14ac:dyDescent="0.3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spans="1:27" ht="15.75" customHeight="1" x14ac:dyDescent="0.3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spans="1:27" ht="15.75" customHeight="1" x14ac:dyDescent="0.3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spans="1:27" ht="15.75" customHeight="1" x14ac:dyDescent="0.3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spans="1:27" ht="15.75" customHeight="1" x14ac:dyDescent="0.3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spans="1:27" ht="15.75" customHeight="1" x14ac:dyDescent="0.3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spans="1:27" ht="15.75" customHeight="1" x14ac:dyDescent="0.3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spans="1:27" ht="15.75" customHeight="1" x14ac:dyDescent="0.3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spans="1:27" ht="15.75" customHeight="1" x14ac:dyDescent="0.3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27" ht="15.75" customHeight="1" x14ac:dyDescent="0.3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spans="1:27" ht="15.75" customHeight="1" x14ac:dyDescent="0.3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spans="1:27" ht="15.75" customHeight="1" x14ac:dyDescent="0.3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spans="1:27" ht="15.75" customHeight="1" x14ac:dyDescent="0.3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spans="1:27" ht="15.75" customHeight="1" x14ac:dyDescent="0.3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spans="1:27" ht="15.75" customHeight="1" x14ac:dyDescent="0.3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spans="1:27" ht="15.75" customHeight="1" x14ac:dyDescent="0.3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spans="1:27" ht="15.75" customHeight="1" x14ac:dyDescent="0.3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spans="1:27" ht="15.75" customHeight="1" x14ac:dyDescent="0.3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spans="1:27" ht="15.75" customHeight="1" x14ac:dyDescent="0.3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spans="1:27" ht="15.75" customHeight="1" x14ac:dyDescent="0.3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spans="1:27" ht="15.75" customHeight="1" x14ac:dyDescent="0.3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spans="1:27" ht="15.75" customHeight="1" x14ac:dyDescent="0.3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spans="1:27" ht="15.75" customHeight="1" x14ac:dyDescent="0.3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spans="1:27" ht="15.75" customHeight="1" x14ac:dyDescent="0.3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spans="1:27" ht="15.75" customHeight="1" x14ac:dyDescent="0.3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spans="1:27" ht="15.75" customHeight="1" x14ac:dyDescent="0.3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spans="1:27" ht="15.75" customHeight="1" x14ac:dyDescent="0.3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 ht="15.75" customHeight="1" x14ac:dyDescent="0.3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spans="1:27" ht="15.75" customHeight="1" x14ac:dyDescent="0.3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spans="1:27" ht="15.75" customHeight="1" x14ac:dyDescent="0.3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spans="1:27" ht="15.75" customHeight="1" x14ac:dyDescent="0.3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spans="1:27" ht="15.75" customHeight="1" x14ac:dyDescent="0.3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spans="1:27" ht="15.75" customHeight="1" x14ac:dyDescent="0.3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spans="1:27" ht="15.75" customHeight="1" x14ac:dyDescent="0.3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spans="1:27" ht="15.75" customHeight="1" x14ac:dyDescent="0.3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spans="1:27" ht="15.75" customHeight="1" x14ac:dyDescent="0.3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spans="1:27" ht="15.75" customHeight="1" x14ac:dyDescent="0.3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spans="1:27" ht="15.75" customHeight="1" x14ac:dyDescent="0.3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spans="1:27" ht="15.75" customHeight="1" x14ac:dyDescent="0.3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spans="1:27" ht="15.75" customHeight="1" x14ac:dyDescent="0.3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spans="1:27" ht="15.75" customHeight="1" x14ac:dyDescent="0.3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spans="1:27" ht="15.75" customHeight="1" x14ac:dyDescent="0.3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spans="1:27" ht="15.75" customHeight="1" x14ac:dyDescent="0.3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spans="1:27" ht="15.75" customHeight="1" x14ac:dyDescent="0.3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spans="1:27" ht="15.75" customHeight="1" x14ac:dyDescent="0.3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spans="1:27" ht="15.75" customHeight="1" x14ac:dyDescent="0.3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spans="1:27" ht="15.75" customHeight="1" x14ac:dyDescent="0.3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spans="1:27" ht="15.75" customHeight="1" x14ac:dyDescent="0.3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spans="1:27" ht="15.75" customHeight="1" x14ac:dyDescent="0.3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spans="1:27" ht="15.75" customHeight="1" x14ac:dyDescent="0.3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spans="1:27" ht="15.75" customHeight="1" x14ac:dyDescent="0.3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spans="1:27" ht="15.75" customHeight="1" x14ac:dyDescent="0.3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spans="1:27" ht="15.75" customHeight="1" x14ac:dyDescent="0.3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spans="1:27" ht="15.75" customHeight="1" x14ac:dyDescent="0.3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spans="1:27" ht="15.75" customHeight="1" x14ac:dyDescent="0.3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spans="1:27" ht="15.75" customHeight="1" x14ac:dyDescent="0.3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spans="1:27" ht="15.75" customHeight="1" x14ac:dyDescent="0.3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spans="1:27" ht="15.75" customHeight="1" x14ac:dyDescent="0.3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spans="1:27" ht="15.75" customHeight="1" x14ac:dyDescent="0.3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spans="1:27" ht="15.75" customHeight="1" x14ac:dyDescent="0.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spans="1:27" ht="15.75" customHeight="1" x14ac:dyDescent="0.3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spans="1:27" ht="15.75" customHeight="1" x14ac:dyDescent="0.3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spans="1:27" ht="15.75" customHeight="1" x14ac:dyDescent="0.3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spans="1:27" ht="15.75" customHeight="1" x14ac:dyDescent="0.3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spans="1:27" ht="15.75" customHeight="1" x14ac:dyDescent="0.3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spans="1:27" ht="15.75" customHeight="1" x14ac:dyDescent="0.3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spans="1:27" ht="15.75" customHeight="1" x14ac:dyDescent="0.3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spans="1:27" ht="15.75" customHeight="1" x14ac:dyDescent="0.3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spans="1:27" ht="15.75" customHeight="1" x14ac:dyDescent="0.3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spans="1:27" ht="15.75" customHeight="1" x14ac:dyDescent="0.3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spans="1:27" ht="15.75" customHeight="1" x14ac:dyDescent="0.3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spans="1:27" ht="15.75" customHeight="1" x14ac:dyDescent="0.3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spans="1:27" ht="15.75" customHeight="1" x14ac:dyDescent="0.3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spans="1:27" ht="15.75" customHeight="1" x14ac:dyDescent="0.3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spans="1:27" ht="15.75" customHeight="1" x14ac:dyDescent="0.3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spans="1:27" ht="15.75" customHeight="1" x14ac:dyDescent="0.3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spans="1:27" ht="15.75" customHeight="1" x14ac:dyDescent="0.3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spans="1:27" ht="15.75" customHeight="1" x14ac:dyDescent="0.3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spans="1:27" ht="15.75" customHeight="1" x14ac:dyDescent="0.3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spans="1:27" ht="15.75" customHeight="1" x14ac:dyDescent="0.3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spans="1:27" ht="15.75" customHeight="1" x14ac:dyDescent="0.3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spans="1:27" ht="15.75" customHeight="1" x14ac:dyDescent="0.3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spans="1:27" ht="15.75" customHeight="1" x14ac:dyDescent="0.3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spans="1:27" ht="15.75" customHeight="1" x14ac:dyDescent="0.3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spans="1:27" ht="15.75" customHeight="1" x14ac:dyDescent="0.3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spans="1:27" ht="15.75" customHeight="1" x14ac:dyDescent="0.3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spans="1:27" ht="15.75" customHeight="1" x14ac:dyDescent="0.3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spans="1:27" ht="15.75" customHeight="1" x14ac:dyDescent="0.3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spans="1:27" ht="15.75" customHeight="1" x14ac:dyDescent="0.3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spans="1:27" ht="15.75" customHeight="1" x14ac:dyDescent="0.3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spans="1:27" ht="15.75" customHeight="1" x14ac:dyDescent="0.3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spans="1:27" ht="15.75" customHeight="1" x14ac:dyDescent="0.3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spans="1:27" ht="15.75" customHeight="1" x14ac:dyDescent="0.3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spans="1:27" ht="15.75" customHeight="1" x14ac:dyDescent="0.3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spans="1:27" ht="15.75" customHeight="1" x14ac:dyDescent="0.3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spans="1:27" ht="15.75" customHeight="1" x14ac:dyDescent="0.3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spans="1:27" ht="15.75" customHeight="1" x14ac:dyDescent="0.3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spans="1:27" ht="15.75" customHeight="1" x14ac:dyDescent="0.3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spans="1:27" ht="15.75" customHeight="1" x14ac:dyDescent="0.3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spans="1:27" ht="15.75" customHeight="1" x14ac:dyDescent="0.3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spans="1:27" ht="15.75" customHeight="1" x14ac:dyDescent="0.3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spans="1:27" ht="15.75" customHeight="1" x14ac:dyDescent="0.3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spans="1:27" ht="15.75" customHeight="1" x14ac:dyDescent="0.3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spans="1:27" ht="15.75" customHeight="1" x14ac:dyDescent="0.3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spans="1:27" ht="15.75" customHeight="1" x14ac:dyDescent="0.3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spans="1:27" ht="15.75" customHeight="1" x14ac:dyDescent="0.3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spans="1:27" ht="15.75" customHeight="1" x14ac:dyDescent="0.3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spans="1:27" ht="15.75" customHeight="1" x14ac:dyDescent="0.3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spans="1:27" ht="15.75" customHeight="1" x14ac:dyDescent="0.3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spans="1:27" ht="15.75" customHeight="1" x14ac:dyDescent="0.3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spans="1:27" ht="15.75" customHeight="1" x14ac:dyDescent="0.3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spans="1:27" ht="15.75" customHeight="1" x14ac:dyDescent="0.3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spans="1:27" ht="15.75" customHeight="1" x14ac:dyDescent="0.3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spans="1:27" ht="15.75" customHeight="1" x14ac:dyDescent="0.3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spans="1:27" ht="15.75" customHeight="1" x14ac:dyDescent="0.3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spans="1:27" ht="15.75" customHeight="1" x14ac:dyDescent="0.3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spans="1:27" ht="15.75" customHeight="1" x14ac:dyDescent="0.3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spans="1:27" ht="15.75" customHeight="1" x14ac:dyDescent="0.3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spans="1:27" ht="15.75" customHeight="1" x14ac:dyDescent="0.3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spans="1:27" ht="15.75" customHeight="1" x14ac:dyDescent="0.3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spans="1:27" ht="15.75" customHeight="1" x14ac:dyDescent="0.3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spans="1:27" ht="15.75" customHeight="1" x14ac:dyDescent="0.3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spans="1:27" ht="15.75" customHeight="1" x14ac:dyDescent="0.3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spans="1:27" ht="15.75" customHeight="1" x14ac:dyDescent="0.3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spans="1:27" ht="15.75" customHeight="1" x14ac:dyDescent="0.3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spans="1:27" ht="15.75" customHeight="1" x14ac:dyDescent="0.3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spans="1:27" ht="15.75" customHeight="1" x14ac:dyDescent="0.3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spans="1:27" ht="15.75" customHeight="1" x14ac:dyDescent="0.3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spans="1:27" ht="15.75" customHeight="1" x14ac:dyDescent="0.3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spans="1:27" ht="15.75" customHeight="1" x14ac:dyDescent="0.3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spans="1:27" ht="15.75" customHeight="1" x14ac:dyDescent="0.3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spans="1:27" ht="15.75" customHeight="1" x14ac:dyDescent="0.3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spans="1:27" ht="15.75" customHeight="1" x14ac:dyDescent="0.3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spans="1:27" ht="15.75" customHeight="1" x14ac:dyDescent="0.3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spans="1:27" ht="15.75" customHeight="1" x14ac:dyDescent="0.3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spans="1:27" ht="15.75" customHeight="1" x14ac:dyDescent="0.3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spans="1:27" ht="15.75" customHeight="1" x14ac:dyDescent="0.3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spans="1:27" ht="15.75" customHeight="1" x14ac:dyDescent="0.3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spans="1:27" ht="15.75" customHeight="1" x14ac:dyDescent="0.3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spans="1:27" ht="15.75" customHeight="1" x14ac:dyDescent="0.3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spans="1:27" ht="15.75" customHeight="1" x14ac:dyDescent="0.3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spans="1:27" ht="15.75" customHeight="1" x14ac:dyDescent="0.3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spans="1:27" ht="15.75" customHeight="1" x14ac:dyDescent="0.3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spans="1:27" ht="15.75" customHeight="1" x14ac:dyDescent="0.3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spans="1:27" ht="15.75" customHeight="1" x14ac:dyDescent="0.3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spans="1:27" ht="15.75" customHeight="1" x14ac:dyDescent="0.3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spans="1:27" ht="15.75" customHeight="1" x14ac:dyDescent="0.3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spans="1:27" ht="15.75" customHeight="1" x14ac:dyDescent="0.3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spans="1:27" ht="15.75" customHeight="1" x14ac:dyDescent="0.3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spans="1:27" ht="15.75" customHeight="1" x14ac:dyDescent="0.3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spans="1:27" ht="15.75" customHeight="1" x14ac:dyDescent="0.3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spans="1:27" ht="15.75" customHeight="1" x14ac:dyDescent="0.3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spans="1:27" ht="15.75" customHeight="1" x14ac:dyDescent="0.3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spans="1:27" ht="15.75" customHeight="1" x14ac:dyDescent="0.3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spans="1:27" ht="15.75" customHeight="1" x14ac:dyDescent="0.3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spans="1:27" ht="15.75" customHeight="1" x14ac:dyDescent="0.3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spans="1:27" ht="15.75" customHeight="1" x14ac:dyDescent="0.3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spans="1:27" ht="15.75" customHeight="1" x14ac:dyDescent="0.3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spans="1:27" ht="15.75" customHeight="1" x14ac:dyDescent="0.3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spans="1:27" ht="15.75" customHeight="1" x14ac:dyDescent="0.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spans="1:27" ht="15.75" customHeight="1" x14ac:dyDescent="0.3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spans="1:27" ht="15.75" customHeight="1" x14ac:dyDescent="0.3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spans="1:27" ht="15.75" customHeight="1" x14ac:dyDescent="0.3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spans="1:27" ht="15.75" customHeight="1" x14ac:dyDescent="0.3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spans="1:27" ht="15.75" customHeight="1" x14ac:dyDescent="0.3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spans="1:27" ht="15.75" customHeight="1" x14ac:dyDescent="0.3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spans="1:27" ht="15.75" customHeight="1" x14ac:dyDescent="0.3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spans="1:27" ht="15.75" customHeight="1" x14ac:dyDescent="0.3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spans="1:27" ht="15.75" customHeight="1" x14ac:dyDescent="0.3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spans="1:27" ht="15.75" customHeight="1" x14ac:dyDescent="0.3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spans="1:27" ht="15.75" customHeight="1" x14ac:dyDescent="0.3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spans="1:27" ht="15.75" customHeight="1" x14ac:dyDescent="0.3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spans="1:27" ht="15.75" customHeight="1" x14ac:dyDescent="0.3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spans="1:27" ht="15.75" customHeight="1" x14ac:dyDescent="0.3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spans="1:27" ht="15.75" customHeight="1" x14ac:dyDescent="0.3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spans="1:27" ht="15.75" customHeight="1" x14ac:dyDescent="0.3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spans="1:27" ht="15.75" customHeight="1" x14ac:dyDescent="0.3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spans="1:27" ht="15.75" customHeight="1" x14ac:dyDescent="0.3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spans="1:27" ht="15.75" customHeight="1" x14ac:dyDescent="0.3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spans="1:27" ht="15.75" customHeight="1" x14ac:dyDescent="0.3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spans="1:27" ht="15.75" customHeight="1" x14ac:dyDescent="0.3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spans="1:27" ht="15.75" customHeight="1" x14ac:dyDescent="0.3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spans="1:27" ht="15.75" customHeight="1" x14ac:dyDescent="0.3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spans="1:27" ht="15.75" customHeight="1" x14ac:dyDescent="0.3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spans="1:27" ht="15.75" customHeight="1" x14ac:dyDescent="0.3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spans="1:27" ht="15.75" customHeight="1" x14ac:dyDescent="0.3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spans="1:27" ht="15.75" customHeight="1" x14ac:dyDescent="0.3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spans="1:27" ht="15.75" customHeight="1" x14ac:dyDescent="0.3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spans="1:27" ht="15.75" customHeight="1" x14ac:dyDescent="0.3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spans="1:27" ht="15.75" customHeight="1" x14ac:dyDescent="0.3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spans="1:27" ht="15.75" customHeight="1" x14ac:dyDescent="0.3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spans="1:27" ht="15.75" customHeight="1" x14ac:dyDescent="0.3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spans="1:27" ht="15.75" customHeight="1" x14ac:dyDescent="0.3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spans="1:27" ht="15.75" customHeight="1" x14ac:dyDescent="0.3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spans="1:27" ht="15.75" customHeight="1" x14ac:dyDescent="0.3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spans="1:27" ht="15.75" customHeight="1" x14ac:dyDescent="0.3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spans="1:27" ht="15.75" customHeight="1" x14ac:dyDescent="0.3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spans="1:27" ht="15.75" customHeight="1" x14ac:dyDescent="0.3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spans="1:27" ht="15.75" customHeight="1" x14ac:dyDescent="0.3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spans="1:27" ht="15.75" customHeight="1" x14ac:dyDescent="0.3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spans="1:27" ht="15.75" customHeight="1" x14ac:dyDescent="0.3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spans="1:27" ht="15.75" customHeight="1" x14ac:dyDescent="0.3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spans="1:27" ht="15.75" customHeight="1" x14ac:dyDescent="0.3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spans="1:27" ht="15.75" customHeight="1" x14ac:dyDescent="0.3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spans="1:27" ht="15.75" customHeight="1" x14ac:dyDescent="0.3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spans="1:27" ht="15.75" customHeight="1" x14ac:dyDescent="0.3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spans="1:27" ht="15.75" customHeight="1" x14ac:dyDescent="0.3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spans="1:27" ht="15.75" customHeight="1" x14ac:dyDescent="0.3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spans="1:27" ht="15.75" customHeight="1" x14ac:dyDescent="0.3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spans="1:27" ht="15.75" customHeight="1" x14ac:dyDescent="0.3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spans="1:27" ht="15.75" customHeight="1" x14ac:dyDescent="0.3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spans="1:27" ht="15.75" customHeight="1" x14ac:dyDescent="0.3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spans="1:27" ht="15.75" customHeight="1" x14ac:dyDescent="0.3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spans="1:27" ht="15.75" customHeight="1" x14ac:dyDescent="0.3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spans="1:27" ht="15.75" customHeight="1" x14ac:dyDescent="0.3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spans="1:27" ht="15.75" customHeight="1" x14ac:dyDescent="0.3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spans="1:27" ht="15.75" customHeight="1" x14ac:dyDescent="0.3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spans="1:27" ht="15.75" customHeight="1" x14ac:dyDescent="0.3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spans="1:27" ht="15.75" customHeight="1" x14ac:dyDescent="0.3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spans="1:27" ht="15.75" customHeight="1" x14ac:dyDescent="0.3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spans="1:27" ht="15.75" customHeight="1" x14ac:dyDescent="0.3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spans="1:27" ht="15.75" customHeight="1" x14ac:dyDescent="0.3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spans="1:27" ht="15.75" customHeight="1" x14ac:dyDescent="0.3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spans="1:27" ht="15.75" customHeight="1" x14ac:dyDescent="0.3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spans="1:27" ht="15.75" customHeight="1" x14ac:dyDescent="0.3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spans="1:27" ht="15.75" customHeight="1" x14ac:dyDescent="0.3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spans="1:27" ht="15.75" customHeight="1" x14ac:dyDescent="0.3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spans="1:27" ht="15.75" customHeight="1" x14ac:dyDescent="0.3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spans="1:27" ht="15.75" customHeight="1" x14ac:dyDescent="0.3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spans="1:27" ht="15.75" customHeight="1" x14ac:dyDescent="0.3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spans="1:27" ht="15.75" customHeight="1" x14ac:dyDescent="0.3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spans="1:27" ht="15.75" customHeight="1" x14ac:dyDescent="0.3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spans="1:27" ht="15.75" customHeight="1" x14ac:dyDescent="0.3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spans="1:27" ht="15.75" customHeight="1" x14ac:dyDescent="0.3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spans="1:27" ht="15.75" customHeight="1" x14ac:dyDescent="0.3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spans="1:27" ht="15.75" customHeight="1" x14ac:dyDescent="0.3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spans="1:27" ht="15.75" customHeight="1" x14ac:dyDescent="0.3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spans="1:27" ht="15.75" customHeight="1" x14ac:dyDescent="0.3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spans="1:27" ht="15.75" customHeight="1" x14ac:dyDescent="0.3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spans="1:27" ht="15.75" customHeight="1" x14ac:dyDescent="0.3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spans="1:27" ht="15.75" customHeight="1" x14ac:dyDescent="0.3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spans="1:27" ht="15.75" customHeight="1" x14ac:dyDescent="0.3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spans="1:27" ht="15.75" customHeight="1" x14ac:dyDescent="0.3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spans="1:27" ht="15.75" customHeight="1" x14ac:dyDescent="0.3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spans="1:27" ht="15.75" customHeight="1" x14ac:dyDescent="0.3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spans="1:27" ht="15.75" customHeight="1" x14ac:dyDescent="0.3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spans="1:27" ht="15.75" customHeight="1" x14ac:dyDescent="0.3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spans="1:27" ht="15.75" customHeight="1" x14ac:dyDescent="0.3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spans="1:27" ht="15.75" customHeight="1" x14ac:dyDescent="0.3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spans="1:27" ht="15.75" customHeight="1" x14ac:dyDescent="0.3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spans="1:27" ht="15.75" customHeight="1" x14ac:dyDescent="0.3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spans="1:27" ht="15.75" customHeight="1" x14ac:dyDescent="0.3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spans="1:27" ht="15.75" customHeight="1" x14ac:dyDescent="0.3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spans="1:27" ht="15.75" customHeight="1" x14ac:dyDescent="0.3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spans="1:27" ht="15.75" customHeight="1" x14ac:dyDescent="0.3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spans="1:27" ht="15.75" customHeight="1" x14ac:dyDescent="0.3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spans="1:27" ht="15.75" customHeight="1" x14ac:dyDescent="0.3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spans="1:27" ht="15.75" customHeight="1" x14ac:dyDescent="0.3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spans="1:27" ht="15.75" customHeight="1" x14ac:dyDescent="0.3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spans="1:27" ht="15.75" customHeight="1" x14ac:dyDescent="0.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spans="1:27" ht="15.75" customHeight="1" x14ac:dyDescent="0.3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spans="1:27" ht="15.75" customHeight="1" x14ac:dyDescent="0.3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spans="1:27" ht="15.75" customHeight="1" x14ac:dyDescent="0.3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spans="1:27" ht="15.75" customHeight="1" x14ac:dyDescent="0.3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spans="1:27" ht="15.75" customHeight="1" x14ac:dyDescent="0.3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spans="1:27" ht="15.75" customHeight="1" x14ac:dyDescent="0.3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spans="1:27" ht="15.75" customHeight="1" x14ac:dyDescent="0.3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spans="1:27" ht="15.75" customHeight="1" x14ac:dyDescent="0.3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spans="1:27" ht="15.75" customHeight="1" x14ac:dyDescent="0.3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spans="1:27" ht="15.75" customHeight="1" x14ac:dyDescent="0.3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spans="1:27" ht="15.75" customHeight="1" x14ac:dyDescent="0.3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spans="1:27" ht="15.75" customHeight="1" x14ac:dyDescent="0.3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spans="1:27" ht="15.75" customHeight="1" x14ac:dyDescent="0.3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spans="1:27" ht="15.75" customHeight="1" x14ac:dyDescent="0.3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spans="1:27" ht="15.75" customHeight="1" x14ac:dyDescent="0.3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spans="1:27" ht="15.75" customHeight="1" x14ac:dyDescent="0.3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spans="1:27" ht="15.75" customHeight="1" x14ac:dyDescent="0.3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spans="1:27" ht="15.75" customHeight="1" x14ac:dyDescent="0.3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spans="1:27" ht="15.75" customHeight="1" x14ac:dyDescent="0.3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spans="1:27" ht="15.75" customHeight="1" x14ac:dyDescent="0.3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spans="1:27" ht="15.75" customHeight="1" x14ac:dyDescent="0.3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spans="1:27" ht="15.75" customHeight="1" x14ac:dyDescent="0.3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spans="1:27" ht="15.75" customHeight="1" x14ac:dyDescent="0.3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spans="1:27" ht="15.75" customHeight="1" x14ac:dyDescent="0.3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spans="1:27" ht="15.75" customHeight="1" x14ac:dyDescent="0.3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spans="1:27" ht="15.75" customHeight="1" x14ac:dyDescent="0.3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spans="1:27" ht="15.75" customHeight="1" x14ac:dyDescent="0.3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spans="1:27" ht="15.75" customHeight="1" x14ac:dyDescent="0.3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spans="1:27" ht="15.75" customHeight="1" x14ac:dyDescent="0.3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spans="1:27" ht="15.75" customHeight="1" x14ac:dyDescent="0.3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spans="1:27" ht="15.75" customHeight="1" x14ac:dyDescent="0.3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spans="1:27" ht="15.75" customHeight="1" x14ac:dyDescent="0.3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spans="1:27" ht="15.75" customHeight="1" x14ac:dyDescent="0.3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spans="1:27" ht="15.75" customHeight="1" x14ac:dyDescent="0.3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spans="1:27" ht="15.75" customHeight="1" x14ac:dyDescent="0.3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spans="1:27" ht="15.75" customHeight="1" x14ac:dyDescent="0.3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spans="1:27" ht="15.75" customHeight="1" x14ac:dyDescent="0.3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spans="1:27" ht="15.75" customHeight="1" x14ac:dyDescent="0.3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spans="1:27" ht="15.75" customHeight="1" x14ac:dyDescent="0.3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spans="1:27" ht="15.75" customHeight="1" x14ac:dyDescent="0.3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spans="1:27" ht="15.75" customHeight="1" x14ac:dyDescent="0.3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spans="1:27" ht="15.75" customHeight="1" x14ac:dyDescent="0.3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spans="1:27" ht="15.75" customHeight="1" x14ac:dyDescent="0.3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spans="1:27" ht="15.75" customHeight="1" x14ac:dyDescent="0.3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spans="1:27" ht="15.75" customHeight="1" x14ac:dyDescent="0.3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spans="1:27" ht="15.75" customHeight="1" x14ac:dyDescent="0.3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spans="1:27" ht="15.75" customHeight="1" x14ac:dyDescent="0.3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spans="1:27" ht="15.75" customHeight="1" x14ac:dyDescent="0.3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spans="1:27" ht="15.75" customHeight="1" x14ac:dyDescent="0.3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spans="1:27" ht="15.75" customHeight="1" x14ac:dyDescent="0.3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spans="1:27" ht="15.75" customHeight="1" x14ac:dyDescent="0.3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spans="1:27" ht="15.75" customHeight="1" x14ac:dyDescent="0.3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spans="1:27" ht="15.75" customHeight="1" x14ac:dyDescent="0.3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spans="1:27" ht="15.75" customHeight="1" x14ac:dyDescent="0.3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spans="1:27" ht="15.75" customHeight="1" x14ac:dyDescent="0.3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spans="1:27" ht="15.75" customHeight="1" x14ac:dyDescent="0.3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spans="1:27" ht="15.75" customHeight="1" x14ac:dyDescent="0.3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spans="1:27" ht="15.75" customHeight="1" x14ac:dyDescent="0.3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spans="1:27" ht="15.75" customHeight="1" x14ac:dyDescent="0.3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spans="1:27" ht="15.75" customHeight="1" x14ac:dyDescent="0.3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spans="1:27" ht="15.75" customHeight="1" x14ac:dyDescent="0.3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spans="1:27" ht="15.75" customHeight="1" x14ac:dyDescent="0.3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spans="1:27" ht="15.75" customHeight="1" x14ac:dyDescent="0.3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spans="1:27" ht="15.75" customHeight="1" x14ac:dyDescent="0.3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spans="1:27" ht="15.75" customHeight="1" x14ac:dyDescent="0.3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spans="1:27" ht="15.75" customHeight="1" x14ac:dyDescent="0.3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spans="1:27" ht="15.75" customHeight="1" x14ac:dyDescent="0.3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spans="1:27" ht="15.75" customHeight="1" x14ac:dyDescent="0.3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spans="1:27" ht="15.75" customHeight="1" x14ac:dyDescent="0.3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spans="1:27" ht="15.75" customHeight="1" x14ac:dyDescent="0.3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spans="1:27" ht="15.75" customHeight="1" x14ac:dyDescent="0.3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spans="1:27" ht="15.75" customHeight="1" x14ac:dyDescent="0.3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spans="1:27" ht="15.75" customHeight="1" x14ac:dyDescent="0.3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spans="1:27" ht="15.75" customHeight="1" x14ac:dyDescent="0.3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spans="1:27" ht="15.75" customHeight="1" x14ac:dyDescent="0.3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spans="1:27" ht="15.75" customHeight="1" x14ac:dyDescent="0.3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spans="1:27" ht="15.75" customHeight="1" x14ac:dyDescent="0.3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spans="1:27" ht="15.75" customHeight="1" x14ac:dyDescent="0.3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spans="1:27" ht="15.75" customHeight="1" x14ac:dyDescent="0.3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spans="1:27" ht="15.75" customHeight="1" x14ac:dyDescent="0.3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spans="1:27" ht="15.75" customHeight="1" x14ac:dyDescent="0.3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spans="1:27" ht="15.75" customHeight="1" x14ac:dyDescent="0.3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spans="1:27" ht="15.75" customHeight="1" x14ac:dyDescent="0.3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spans="1:27" ht="15.75" customHeight="1" x14ac:dyDescent="0.3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spans="1:27" ht="15.75" customHeight="1" x14ac:dyDescent="0.3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spans="1:27" ht="15.75" customHeight="1" x14ac:dyDescent="0.3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spans="1:27" ht="15.75" customHeight="1" x14ac:dyDescent="0.3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spans="1:27" ht="15.75" customHeight="1" x14ac:dyDescent="0.3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spans="1:27" ht="15.75" customHeight="1" x14ac:dyDescent="0.3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spans="1:27" ht="15.75" customHeight="1" x14ac:dyDescent="0.3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spans="1:27" ht="15.75" customHeight="1" x14ac:dyDescent="0.3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spans="1:27" ht="15.75" customHeight="1" x14ac:dyDescent="0.3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spans="1:27" ht="15.75" customHeight="1" x14ac:dyDescent="0.3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spans="1:27" ht="15.75" customHeight="1" x14ac:dyDescent="0.3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spans="1:27" ht="15.75" customHeight="1" x14ac:dyDescent="0.3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spans="1:27" ht="15.75" customHeight="1" x14ac:dyDescent="0.3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spans="1:27" ht="15.75" customHeight="1" x14ac:dyDescent="0.3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spans="1:27" ht="15.75" customHeight="1" x14ac:dyDescent="0.3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spans="1:27" ht="15.75" customHeight="1" x14ac:dyDescent="0.3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spans="1:27" ht="15.75" customHeight="1" x14ac:dyDescent="0.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spans="1:27" ht="15.75" customHeight="1" x14ac:dyDescent="0.3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spans="1:27" ht="15.75" customHeight="1" x14ac:dyDescent="0.3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spans="1:27" ht="15.75" customHeight="1" x14ac:dyDescent="0.3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spans="1:27" ht="15.75" customHeight="1" x14ac:dyDescent="0.3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spans="1:27" ht="15.75" customHeight="1" x14ac:dyDescent="0.3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spans="1:27" ht="15.75" customHeight="1" x14ac:dyDescent="0.3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spans="1:27" ht="15.75" customHeight="1" x14ac:dyDescent="0.3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spans="1:27" ht="15.75" customHeight="1" x14ac:dyDescent="0.3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spans="1:27" ht="15.75" customHeight="1" x14ac:dyDescent="0.3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spans="1:27" ht="15.75" customHeight="1" x14ac:dyDescent="0.3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spans="1:27" ht="15.75" customHeight="1" x14ac:dyDescent="0.3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spans="1:27" ht="15.75" customHeight="1" x14ac:dyDescent="0.3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spans="1:27" ht="15.75" customHeight="1" x14ac:dyDescent="0.3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spans="1:27" ht="15.75" customHeight="1" x14ac:dyDescent="0.3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spans="1:27" ht="15.75" customHeight="1" x14ac:dyDescent="0.3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spans="1:27" ht="15.75" customHeight="1" x14ac:dyDescent="0.3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spans="1:27" ht="15.75" customHeight="1" x14ac:dyDescent="0.3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spans="1:27" ht="15.75" customHeight="1" x14ac:dyDescent="0.3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spans="1:27" ht="15.75" customHeight="1" x14ac:dyDescent="0.3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spans="1:27" ht="15.75" customHeight="1" x14ac:dyDescent="0.3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spans="1:27" ht="15.75" customHeight="1" x14ac:dyDescent="0.3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spans="1:27" ht="15.75" customHeight="1" x14ac:dyDescent="0.3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spans="1:27" ht="15.75" customHeight="1" x14ac:dyDescent="0.3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spans="1:27" ht="15.75" customHeight="1" x14ac:dyDescent="0.3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spans="1:27" ht="15.75" customHeight="1" x14ac:dyDescent="0.3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spans="1:27" ht="15.75" customHeight="1" x14ac:dyDescent="0.3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spans="1:27" ht="15.75" customHeight="1" x14ac:dyDescent="0.3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spans="1:27" ht="15.75" customHeight="1" x14ac:dyDescent="0.3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spans="1:27" ht="15.75" customHeight="1" x14ac:dyDescent="0.3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spans="1:27" ht="15.75" customHeight="1" x14ac:dyDescent="0.3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spans="1:27" ht="15.75" customHeight="1" x14ac:dyDescent="0.3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spans="1:27" ht="15.75" customHeight="1" x14ac:dyDescent="0.3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spans="1:27" ht="15.75" customHeight="1" x14ac:dyDescent="0.3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spans="1:27" ht="15.75" customHeight="1" x14ac:dyDescent="0.3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spans="1:27" ht="15.75" customHeight="1" x14ac:dyDescent="0.3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spans="1:27" ht="15.75" customHeight="1" x14ac:dyDescent="0.3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spans="1:27" ht="15.75" customHeight="1" x14ac:dyDescent="0.3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spans="1:27" ht="15.75" customHeight="1" x14ac:dyDescent="0.3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spans="1:27" ht="15.75" customHeight="1" x14ac:dyDescent="0.3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spans="1:27" ht="15.75" customHeight="1" x14ac:dyDescent="0.3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spans="1:27" ht="15.75" customHeight="1" x14ac:dyDescent="0.3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spans="1:27" ht="15.75" customHeight="1" x14ac:dyDescent="0.3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spans="1:27" ht="15.75" customHeight="1" x14ac:dyDescent="0.3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spans="1:27" ht="15.75" customHeight="1" x14ac:dyDescent="0.3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spans="1:27" ht="15.75" customHeight="1" x14ac:dyDescent="0.3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spans="1:27" ht="15.75" customHeight="1" x14ac:dyDescent="0.3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spans="1:27" ht="15.75" customHeight="1" x14ac:dyDescent="0.3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spans="1:27" ht="15.75" customHeight="1" x14ac:dyDescent="0.3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spans="1:27" ht="15.75" customHeight="1" x14ac:dyDescent="0.3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spans="1:27" ht="15.75" customHeight="1" x14ac:dyDescent="0.3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spans="1:27" ht="15.75" customHeight="1" x14ac:dyDescent="0.3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spans="1:27" ht="15.75" customHeight="1" x14ac:dyDescent="0.3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spans="1:27" ht="15.75" customHeight="1" x14ac:dyDescent="0.3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spans="1:27" ht="15.75" customHeight="1" x14ac:dyDescent="0.3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spans="1:27" ht="15.75" customHeight="1" x14ac:dyDescent="0.3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spans="1:27" ht="15.75" customHeight="1" x14ac:dyDescent="0.3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spans="1:27" ht="15.75" customHeight="1" x14ac:dyDescent="0.3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spans="1:27" ht="15.75" customHeight="1" x14ac:dyDescent="0.3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spans="1:27" ht="15.75" customHeight="1" x14ac:dyDescent="0.3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spans="1:27" ht="15.75" customHeight="1" x14ac:dyDescent="0.3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spans="1:27" ht="15.75" customHeight="1" x14ac:dyDescent="0.3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spans="1:27" ht="15.75" customHeight="1" x14ac:dyDescent="0.3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spans="1:27" ht="15.75" customHeight="1" x14ac:dyDescent="0.3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spans="1:27" ht="15.75" customHeight="1" x14ac:dyDescent="0.3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spans="1:27" ht="15.75" customHeight="1" x14ac:dyDescent="0.3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spans="1:27" ht="15.75" customHeight="1" x14ac:dyDescent="0.3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spans="1:27" ht="15.75" customHeight="1" x14ac:dyDescent="0.3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spans="1:27" ht="15.75" customHeight="1" x14ac:dyDescent="0.3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spans="1:27" ht="15.75" customHeight="1" x14ac:dyDescent="0.3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spans="1:27" ht="15.75" customHeight="1" x14ac:dyDescent="0.3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spans="1:27" ht="15.75" customHeight="1" x14ac:dyDescent="0.3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spans="1:27" ht="15.75" customHeight="1" x14ac:dyDescent="0.3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spans="1:27" ht="15.75" customHeight="1" x14ac:dyDescent="0.3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spans="1:27" ht="15.75" customHeight="1" x14ac:dyDescent="0.3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spans="1:27" ht="15.75" customHeight="1" x14ac:dyDescent="0.3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spans="1:27" ht="15.75" customHeight="1" x14ac:dyDescent="0.3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spans="1:27" ht="15.75" customHeight="1" x14ac:dyDescent="0.3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spans="1:27" ht="15.75" customHeight="1" x14ac:dyDescent="0.3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spans="1:27" ht="15.75" customHeight="1" x14ac:dyDescent="0.3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spans="1:27" ht="15.75" customHeight="1" x14ac:dyDescent="0.3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spans="1:27" ht="15.75" customHeight="1" x14ac:dyDescent="0.3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spans="1:27" ht="15.75" customHeight="1" x14ac:dyDescent="0.3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spans="1:27" ht="15.75" customHeight="1" x14ac:dyDescent="0.3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spans="1:27" ht="15.75" customHeight="1" x14ac:dyDescent="0.3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spans="1:27" ht="15.75" customHeight="1" x14ac:dyDescent="0.3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spans="1:27" ht="15.75" customHeight="1" x14ac:dyDescent="0.3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spans="1:27" ht="15.75" customHeight="1" x14ac:dyDescent="0.3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spans="1:27" ht="15.75" customHeight="1" x14ac:dyDescent="0.3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spans="1:27" ht="15.75" customHeight="1" x14ac:dyDescent="0.3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spans="1:27" ht="15.75" customHeight="1" x14ac:dyDescent="0.3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spans="1:27" ht="15.75" customHeight="1" x14ac:dyDescent="0.3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spans="1:27" ht="15.75" customHeight="1" x14ac:dyDescent="0.3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spans="1:27" ht="15.75" customHeight="1" x14ac:dyDescent="0.3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spans="1:27" ht="15.75" customHeight="1" x14ac:dyDescent="0.3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spans="1:27" ht="15.75" customHeight="1" x14ac:dyDescent="0.3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spans="1:27" ht="15.75" customHeight="1" x14ac:dyDescent="0.3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spans="1:27" ht="15.75" customHeight="1" x14ac:dyDescent="0.3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spans="1:27" ht="15.75" customHeight="1" x14ac:dyDescent="0.3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spans="1:27" ht="15.75" customHeight="1" x14ac:dyDescent="0.3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spans="1:27" ht="15.75" customHeight="1" x14ac:dyDescent="0.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spans="1:27" ht="15.75" customHeight="1" x14ac:dyDescent="0.3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spans="1:27" ht="15.75" customHeight="1" x14ac:dyDescent="0.3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spans="1:27" ht="15.75" customHeight="1" x14ac:dyDescent="0.3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spans="1:27" ht="15.75" customHeight="1" x14ac:dyDescent="0.3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spans="1:27" ht="15.75" customHeight="1" x14ac:dyDescent="0.3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spans="1:27" ht="15.75" customHeight="1" x14ac:dyDescent="0.3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spans="1:27" ht="15.75" customHeight="1" x14ac:dyDescent="0.3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spans="1:27" ht="15.75" customHeight="1" x14ac:dyDescent="0.3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spans="1:27" ht="15.75" customHeight="1" x14ac:dyDescent="0.3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spans="1:27" ht="15.75" customHeight="1" x14ac:dyDescent="0.3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spans="1:27" ht="15.75" customHeight="1" x14ac:dyDescent="0.3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spans="1:27" ht="15.75" customHeight="1" x14ac:dyDescent="0.3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spans="1:27" ht="15.75" customHeight="1" x14ac:dyDescent="0.3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spans="1:27" ht="15.75" customHeight="1" x14ac:dyDescent="0.3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spans="1:27" ht="15.75" customHeight="1" x14ac:dyDescent="0.3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spans="1:27" ht="15.75" customHeight="1" x14ac:dyDescent="0.3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spans="1:27" ht="15.75" customHeight="1" x14ac:dyDescent="0.3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spans="1:27" ht="15.75" customHeight="1" x14ac:dyDescent="0.3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spans="1:27" ht="15.75" customHeight="1" x14ac:dyDescent="0.3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spans="1:27" ht="15.75" customHeight="1" x14ac:dyDescent="0.3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spans="1:27" ht="15.75" customHeight="1" x14ac:dyDescent="0.3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spans="1:27" ht="15.75" customHeight="1" x14ac:dyDescent="0.3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spans="1:27" ht="15.75" customHeight="1" x14ac:dyDescent="0.3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spans="1:27" ht="15.75" customHeight="1" x14ac:dyDescent="0.3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spans="1:27" ht="15.75" customHeight="1" x14ac:dyDescent="0.3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spans="1:27" ht="15.75" customHeight="1" x14ac:dyDescent="0.3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spans="1:27" ht="15.75" customHeight="1" x14ac:dyDescent="0.3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spans="1:27" ht="15.75" customHeight="1" x14ac:dyDescent="0.3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spans="1:27" ht="15.75" customHeight="1" x14ac:dyDescent="0.3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spans="1:27" ht="15.75" customHeight="1" x14ac:dyDescent="0.3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spans="1:27" ht="15.75" customHeight="1" x14ac:dyDescent="0.3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spans="1:27" ht="15.75" customHeight="1" x14ac:dyDescent="0.3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spans="1:27" ht="15.75" customHeight="1" x14ac:dyDescent="0.3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spans="1:27" ht="15.75" customHeight="1" x14ac:dyDescent="0.3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spans="1:27" ht="15.75" customHeight="1" x14ac:dyDescent="0.3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spans="1:27" ht="15.75" customHeight="1" x14ac:dyDescent="0.3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spans="1:27" ht="15.75" customHeight="1" x14ac:dyDescent="0.3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spans="1:27" ht="15.75" customHeight="1" x14ac:dyDescent="0.3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spans="1:27" ht="15.75" customHeight="1" x14ac:dyDescent="0.3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spans="1:27" ht="15.75" customHeight="1" x14ac:dyDescent="0.3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spans="1:27" ht="15.75" customHeight="1" x14ac:dyDescent="0.3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spans="1:27" ht="15.75" customHeight="1" x14ac:dyDescent="0.3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spans="1:27" ht="15.75" customHeight="1" x14ac:dyDescent="0.3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spans="1:27" ht="15.75" customHeight="1" x14ac:dyDescent="0.3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spans="1:27" ht="15.75" customHeight="1" x14ac:dyDescent="0.3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spans="1:27" ht="15.75" customHeight="1" x14ac:dyDescent="0.3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spans="1:27" ht="15.75" customHeight="1" x14ac:dyDescent="0.3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spans="1:27" ht="15.75" customHeight="1" x14ac:dyDescent="0.3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spans="1:27" ht="15.75" customHeight="1" x14ac:dyDescent="0.3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spans="1:27" ht="15.75" customHeight="1" x14ac:dyDescent="0.3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spans="1:27" ht="15.75" customHeight="1" x14ac:dyDescent="0.3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spans="1:27" ht="15.75" customHeight="1" x14ac:dyDescent="0.3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spans="1:27" ht="15.75" customHeight="1" x14ac:dyDescent="0.3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spans="1:27" ht="15.75" customHeight="1" x14ac:dyDescent="0.3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spans="1:27" ht="15.75" customHeight="1" x14ac:dyDescent="0.3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spans="1:27" ht="15.75" customHeight="1" x14ac:dyDescent="0.3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 spans="1:27" ht="15.75" customHeight="1" x14ac:dyDescent="0.3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 spans="1:27" ht="15.75" customHeight="1" x14ac:dyDescent="0.3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 spans="1:27" ht="15.75" customHeight="1" x14ac:dyDescent="0.3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 spans="1:27" ht="15.75" customHeight="1" x14ac:dyDescent="0.3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 spans="1:27" ht="15.75" customHeight="1" x14ac:dyDescent="0.3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 spans="1:27" ht="15.75" customHeight="1" x14ac:dyDescent="0.3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 spans="1:27" ht="15.75" customHeight="1" x14ac:dyDescent="0.3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 spans="1:27" ht="15.75" customHeight="1" x14ac:dyDescent="0.3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 spans="1:27" ht="15.75" customHeight="1" x14ac:dyDescent="0.3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 spans="1:27" ht="15.75" customHeight="1" x14ac:dyDescent="0.3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 spans="1:27" ht="15.75" customHeight="1" x14ac:dyDescent="0.3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 spans="1:27" ht="15.75" customHeight="1" x14ac:dyDescent="0.3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 spans="1:27" ht="15.75" customHeight="1" x14ac:dyDescent="0.3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 spans="1:27" ht="15.75" customHeight="1" x14ac:dyDescent="0.3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 spans="1:27" ht="15.75" customHeight="1" x14ac:dyDescent="0.3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 spans="1:27" ht="15.75" customHeight="1" x14ac:dyDescent="0.3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 spans="1:27" ht="15.75" customHeight="1" x14ac:dyDescent="0.3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 spans="1:27" ht="15.75" customHeight="1" x14ac:dyDescent="0.3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 spans="1:27" ht="15.75" customHeight="1" x14ac:dyDescent="0.3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 spans="1:27" ht="15.75" customHeight="1" x14ac:dyDescent="0.3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 spans="1:27" ht="15.75" customHeight="1" x14ac:dyDescent="0.3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 spans="1:27" ht="15.75" customHeight="1" x14ac:dyDescent="0.3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 spans="1:27" ht="15.75" customHeight="1" x14ac:dyDescent="0.3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 spans="1:27" ht="15.75" customHeight="1" x14ac:dyDescent="0.3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 spans="1:27" ht="15.75" customHeight="1" x14ac:dyDescent="0.3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 spans="1:27" ht="15.75" customHeight="1" x14ac:dyDescent="0.3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 spans="1:27" ht="15.75" customHeight="1" x14ac:dyDescent="0.3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 spans="1:27" ht="15.75" customHeight="1" x14ac:dyDescent="0.3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 spans="1:27" ht="15.75" customHeight="1" x14ac:dyDescent="0.3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 spans="1:27" ht="15.75" customHeight="1" x14ac:dyDescent="0.3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 spans="1:27" ht="15.75" customHeight="1" x14ac:dyDescent="0.3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 spans="1:27" ht="15.75" customHeight="1" x14ac:dyDescent="0.3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 spans="1:27" ht="15.75" customHeight="1" x14ac:dyDescent="0.3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 spans="1:27" ht="15.75" customHeight="1" x14ac:dyDescent="0.3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 spans="1:27" ht="15.75" customHeight="1" x14ac:dyDescent="0.3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 spans="1:27" ht="15.75" customHeight="1" x14ac:dyDescent="0.3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 spans="1:27" ht="15.75" customHeight="1" x14ac:dyDescent="0.3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 spans="1:27" ht="15.75" customHeight="1" x14ac:dyDescent="0.3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 spans="1:27" ht="15.75" customHeight="1" x14ac:dyDescent="0.3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 spans="1:27" ht="15.75" customHeight="1" x14ac:dyDescent="0.3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 spans="1:27" ht="15.75" customHeight="1" x14ac:dyDescent="0.3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 spans="1:27" ht="15.75" customHeight="1" x14ac:dyDescent="0.3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 spans="1:27" ht="15.75" customHeight="1" x14ac:dyDescent="0.3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 spans="1:27" ht="15.75" customHeight="1" x14ac:dyDescent="0.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 spans="1:27" ht="15.75" customHeight="1" x14ac:dyDescent="0.3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 spans="1:27" ht="15.75" customHeight="1" x14ac:dyDescent="0.3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 spans="1:27" ht="15.75" customHeight="1" x14ac:dyDescent="0.3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 spans="1:27" ht="15.75" customHeight="1" x14ac:dyDescent="0.3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 spans="1:27" ht="15.75" customHeight="1" x14ac:dyDescent="0.3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 spans="1:27" ht="15.75" customHeight="1" x14ac:dyDescent="0.3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 spans="1:27" ht="15.75" customHeight="1" x14ac:dyDescent="0.3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 spans="1:27" ht="15.75" customHeight="1" x14ac:dyDescent="0.3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 spans="1:27" ht="15.75" customHeight="1" x14ac:dyDescent="0.3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 spans="1:27" ht="15.75" customHeight="1" x14ac:dyDescent="0.3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 spans="1:27" ht="15.75" customHeight="1" x14ac:dyDescent="0.3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 spans="1:27" ht="15.75" customHeight="1" x14ac:dyDescent="0.3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 spans="1:27" ht="15.75" customHeight="1" x14ac:dyDescent="0.3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 spans="1:27" ht="15.75" customHeight="1" x14ac:dyDescent="0.3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 spans="1:27" ht="15.75" customHeight="1" x14ac:dyDescent="0.3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 spans="1:27" ht="15.75" customHeight="1" x14ac:dyDescent="0.3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 spans="1:27" ht="15.75" customHeight="1" x14ac:dyDescent="0.3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 spans="1:27" ht="15.75" customHeight="1" x14ac:dyDescent="0.3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 spans="1:27" ht="15.75" customHeight="1" x14ac:dyDescent="0.3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 spans="1:27" ht="15.75" customHeight="1" x14ac:dyDescent="0.3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 spans="1:27" ht="15.75" customHeight="1" x14ac:dyDescent="0.3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 spans="1:27" ht="15.75" customHeight="1" x14ac:dyDescent="0.3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 spans="1:27" ht="15.75" customHeight="1" x14ac:dyDescent="0.3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 spans="1:27" ht="15.75" customHeight="1" x14ac:dyDescent="0.3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 spans="1:27" ht="15.75" customHeight="1" x14ac:dyDescent="0.3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 spans="1:27" ht="15.75" customHeight="1" x14ac:dyDescent="0.3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 spans="1:27" ht="15.75" customHeight="1" x14ac:dyDescent="0.3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 spans="1:27" ht="15.75" customHeight="1" x14ac:dyDescent="0.3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 spans="1:27" ht="15.75" customHeight="1" x14ac:dyDescent="0.3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 spans="1:27" ht="15.75" customHeight="1" x14ac:dyDescent="0.3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 spans="1:27" ht="15.75" customHeight="1" x14ac:dyDescent="0.3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 spans="1:27" ht="15.75" customHeight="1" x14ac:dyDescent="0.3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 spans="1:27" ht="15.75" customHeight="1" x14ac:dyDescent="0.3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 spans="1:27" ht="15.75" customHeight="1" x14ac:dyDescent="0.3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 spans="1:27" ht="15.75" customHeight="1" x14ac:dyDescent="0.3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 spans="1:27" ht="15.75" customHeight="1" x14ac:dyDescent="0.3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 spans="1:27" ht="15.75" customHeight="1" x14ac:dyDescent="0.3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 spans="1:27" ht="15.75" customHeight="1" x14ac:dyDescent="0.3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 spans="1:27" ht="15.75" customHeight="1" x14ac:dyDescent="0.3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 spans="1:27" ht="15.75" customHeight="1" x14ac:dyDescent="0.3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 spans="1:27" ht="15.75" customHeight="1" x14ac:dyDescent="0.3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 spans="1:27" ht="15.75" customHeight="1" x14ac:dyDescent="0.3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 spans="1:27" ht="15.75" customHeight="1" x14ac:dyDescent="0.3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 spans="1:27" ht="15.75" customHeight="1" x14ac:dyDescent="0.3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 spans="1:27" ht="15.75" customHeight="1" x14ac:dyDescent="0.3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 spans="1:27" ht="15.75" customHeight="1" x14ac:dyDescent="0.3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 spans="1:27" ht="15.75" customHeight="1" x14ac:dyDescent="0.3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 spans="1:27" ht="15.75" customHeight="1" x14ac:dyDescent="0.3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 spans="1:27" ht="15.75" customHeight="1" x14ac:dyDescent="0.3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 spans="1:27" ht="15.75" customHeight="1" x14ac:dyDescent="0.3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 spans="1:27" ht="15.75" customHeight="1" x14ac:dyDescent="0.3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 spans="1:27" ht="15.75" customHeight="1" x14ac:dyDescent="0.3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 spans="1:27" ht="15.75" customHeight="1" x14ac:dyDescent="0.3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 spans="1:27" ht="15.75" customHeight="1" x14ac:dyDescent="0.3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 spans="1:27" ht="15.75" customHeight="1" x14ac:dyDescent="0.3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 spans="1:27" ht="15.75" customHeight="1" x14ac:dyDescent="0.3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 spans="1:27" ht="15.75" customHeight="1" x14ac:dyDescent="0.3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 spans="1:27" ht="15.75" customHeight="1" x14ac:dyDescent="0.3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 spans="1:27" ht="15.75" customHeight="1" x14ac:dyDescent="0.3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 spans="1:27" ht="15.75" customHeight="1" x14ac:dyDescent="0.3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 spans="1:27" ht="15.75" customHeight="1" x14ac:dyDescent="0.3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 spans="1:27" ht="15.75" customHeight="1" x14ac:dyDescent="0.3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 spans="1:27" ht="15.75" customHeight="1" x14ac:dyDescent="0.3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 spans="1:27" ht="15.75" customHeight="1" x14ac:dyDescent="0.3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 spans="1:27" ht="15.75" customHeight="1" x14ac:dyDescent="0.3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</sheetData>
  <mergeCells count="3">
    <mergeCell ref="C2:F2"/>
    <mergeCell ref="C3:F3"/>
    <mergeCell ref="C4:F4"/>
  </mergeCells>
  <dataValidations count="2">
    <dataValidation type="list" allowBlank="1" showErrorMessage="1" sqref="G10:G16" xr:uid="{00000000-0002-0000-0700-000000000000}">
      <formula1>"Pass,Fail,N/A"</formula1>
    </dataValidation>
    <dataValidation type="list" allowBlank="1" showErrorMessage="1" sqref="G9" xr:uid="{10E556EF-D6DE-4060-A0DD-3CD3D066F6C3}">
      <formula1>$P$2:$P$5</formula1>
    </dataValidation>
  </dataValidations>
  <pageMargins left="0.75" right="0.75" top="1" bottom="1" header="0" footer="0"/>
  <pageSetup orientation="portrait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Report</vt:lpstr>
      <vt:lpstr>Test Case List</vt:lpstr>
      <vt:lpstr>Member_Login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Hau Nguyen Kim</cp:lastModifiedBy>
  <cp:revision/>
  <dcterms:created xsi:type="dcterms:W3CDTF">2025-06-09T03:55:16Z</dcterms:created>
  <dcterms:modified xsi:type="dcterms:W3CDTF">2026-01-19T03:28:06Z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1179F88BA3024118894CD6A0B6A078FA_11</vt:lpwstr>
  </property>
  <property fmtid="{D5CDD505-2E9C-101B-9397-08002B2CF9AE}" pid="3" name="KSOProductBuildVer">
    <vt:lpwstr>1033-12.2.0.21179</vt:lpwstr>
  </property>
</Properties>
</file>